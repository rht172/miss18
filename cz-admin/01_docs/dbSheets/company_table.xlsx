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XAMPP\htdocs\cz360\01_docs\dbSheets\"/>
    </mc:Choice>
  </mc:AlternateContent>
  <xr:revisionPtr revIDLastSave="0" documentId="13_ncr:1_{FB0ED36A-70FF-487B-9742-20E84F7A4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  <sheet name="Qu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B1" i="2" a="1"/>
  <c r="B1" i="2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B3" i="2" l="1" a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<sst xmlns="http://schemas.openxmlformats.org/spreadsheetml/2006/main" count="82" uniqueCount="80">
  <si>
    <t>Table Name</t>
  </si>
  <si>
    <t>Empty Variable</t>
  </si>
  <si>
    <t>Insert Fields</t>
  </si>
  <si>
    <t>Insert Values</t>
  </si>
  <si>
    <t>Update Values</t>
  </si>
  <si>
    <t>Assign Variable from Post</t>
  </si>
  <si>
    <t>Select Data for Update</t>
  </si>
  <si>
    <t>Form Values</t>
  </si>
  <si>
    <t>WhereClass For filter</t>
  </si>
  <si>
    <t>Fetch Acc() for Table</t>
  </si>
  <si>
    <t>Convert To Float Value</t>
  </si>
  <si>
    <t>company_name</t>
  </si>
  <si>
    <t>display_name</t>
  </si>
  <si>
    <t>b_street_l1</t>
  </si>
  <si>
    <t>b_street_l2</t>
  </si>
  <si>
    <t>b_city</t>
  </si>
  <si>
    <t>b_state</t>
  </si>
  <si>
    <t>b_zip</t>
  </si>
  <si>
    <t>b_country</t>
  </si>
  <si>
    <t>s_street_l1</t>
  </si>
  <si>
    <t>s_street_l2</t>
  </si>
  <si>
    <t>s_city</t>
  </si>
  <si>
    <t>s_state</t>
  </si>
  <si>
    <t>s_zip</t>
  </si>
  <si>
    <t>s_country</t>
  </si>
  <si>
    <t>email</t>
  </si>
  <si>
    <t>landline</t>
  </si>
  <si>
    <t>mobile</t>
  </si>
  <si>
    <t>fax</t>
  </si>
  <si>
    <t>website</t>
  </si>
  <si>
    <t>other_details</t>
  </si>
  <si>
    <t>tin</t>
  </si>
  <si>
    <t>tan</t>
  </si>
  <si>
    <t>cst</t>
  </si>
  <si>
    <t>pan</t>
  </si>
  <si>
    <t>service_tax</t>
  </si>
  <si>
    <t>department</t>
  </si>
  <si>
    <t>date_of_add</t>
  </si>
  <si>
    <t>payable_opening_balance</t>
  </si>
  <si>
    <t>receivable_opening_balance</t>
  </si>
  <si>
    <t>bonus_point</t>
  </si>
  <si>
    <t>contact_person_name</t>
  </si>
  <si>
    <t>conatct_person_mobile</t>
  </si>
  <si>
    <t>approved_status</t>
  </si>
  <si>
    <t>image_logo_url</t>
  </si>
  <si>
    <t>contact_type</t>
  </si>
  <si>
    <t>tid</t>
  </si>
  <si>
    <t>credit_amount</t>
  </si>
  <si>
    <t>credit_days</t>
  </si>
  <si>
    <t>price_list</t>
  </si>
  <si>
    <t>a1</t>
  </si>
  <si>
    <t>a2</t>
  </si>
  <si>
    <t>a3</t>
  </si>
  <si>
    <t>a4</t>
  </si>
  <si>
    <t>a5</t>
  </si>
  <si>
    <t>ad6</t>
  </si>
  <si>
    <t>ad7</t>
  </si>
  <si>
    <t>ad8</t>
  </si>
  <si>
    <t>ad9</t>
  </si>
  <si>
    <t>ad10</t>
  </si>
  <si>
    <t>ad11</t>
  </si>
  <si>
    <t>ad12</t>
  </si>
  <si>
    <t>ad13</t>
  </si>
  <si>
    <t>ad14</t>
  </si>
  <si>
    <t>ad15</t>
  </si>
  <si>
    <t>date_of_birth</t>
  </si>
  <si>
    <t>accounts_manager</t>
  </si>
  <si>
    <t>date_of_anniversary</t>
  </si>
  <si>
    <t>bank_details</t>
  </si>
  <si>
    <t>agent_name</t>
  </si>
  <si>
    <t>dealer_name</t>
  </si>
  <si>
    <t>last_updated_date</t>
  </si>
  <si>
    <t>rating</t>
  </si>
  <si>
    <t>royality_points</t>
  </si>
  <si>
    <t>created_on</t>
  </si>
  <si>
    <t>created_by</t>
  </si>
  <si>
    <t>short_name</t>
  </si>
  <si>
    <t>code</t>
  </si>
  <si>
    <t>referance_name</t>
  </si>
  <si>
    <t>Form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</si>
</sst>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0399B-8122-4F24-8C59-9126D927D894}" name="Table1" displayName="Table1" ref="A1:K69" totalsRowShown="0" headerRowDxfId="10">
  <autoFilter ref="A1:K69" xr:uid="{FF64DB0D-9558-4421-8023-57E062C13835}"/>
  <tableColumns count="11">
    <tableColumn id="1" xr3:uid="{EFF094CB-EC19-4F7F-9809-D1291E5E8947}" name="Table Name"/>
    <tableColumn id="2" xr3:uid="{76C1A80C-2D28-47AF-9E9A-C855FB208E40}" name="Empty Variable" dataDxfId="9">
      <calculatedColumnFormula>_xlfn.CONCAT("$",A2,"  =  ",CHAR(34),CHAR(34),";")</calculatedColumnFormula>
    </tableColumn>
    <tableColumn id="5" xr3:uid="{52E7A0B0-17CA-47F7-B6A6-2F497817766A}" name="Insert Values" dataDxfId="8">
      <calculatedColumnFormula>_xlfn.CONCAT(CHAR(39),"$",A2,CHAR(39))</calculatedColumnFormula>
    </tableColumn>
    <tableColumn id="6" xr3:uid="{E781B5AB-8903-44E7-B608-176E29F0CF5C}" name="Update Values" dataDxfId="7">
      <calculatedColumnFormula>_xlfn.CONCAT(A2," = ",CHAR(39),"$",A2,CHAR(39))</calculatedColumnFormula>
    </tableColumn>
    <tableColumn id="3" xr3:uid="{429DFC5B-90F6-4C6A-AA44-561B81B07EAC}" name="Assign Variable from Post" dataDxfId="6">
      <calculatedColumnFormula>_xlfn.CONCAT("$",A2," = czPostForSQL('",A2,"');")</calculatedColumnFormula>
    </tableColumn>
    <tableColumn id="7" xr3:uid="{9144A2E9-9BA3-4F91-BBD0-B9102F118E86}" name="Form Values" dataDxfId="5">
      <calculatedColumnFormula>_xlfn.CONCAT("&lt;?php echo 'value=",CHAR(34),"' . $",A2," . '",CHAR(34),"'; ?&gt; id = ",CHAR(34),A2,CHAR(34)," name = ", CHAR(34),A2,CHAR(34))</calculatedColumnFormula>
    </tableColumn>
    <tableColumn id="8" xr3:uid="{7EDDAF29-4E81-436C-87C4-CB07FCC0062B}" name="WhereClass For filter" dataDxfId="4">
      <calculatedColumnFormula>_xlfn.CONCAT(" $temp_whereClause = whereClasueQueryGenerator('",A2,"' ,'=',", "$",A2,",$temp_whereClause);")</calculatedColumnFormula>
    </tableColumn>
    <tableColumn id="9" xr3:uid="{24BC44CF-C5EF-4106-8830-B4E1066EA772}" name="Fetch Acc() for Table" dataDxfId="3">
      <calculatedColumnFormula>_xlfn.CONCAT("echo ",CHAR(34),"&lt;td&gt;",CHAR(34)," . $row['",A2,"'] . ",CHAR(34),"&lt;/td&gt;",CHAR(34),";")</calculatedColumnFormula>
    </tableColumn>
    <tableColumn id="10" xr3:uid="{F32262DA-FA9B-4B8E-AFC4-D88E0619A8D7}" name="Convert To Float Value" dataDxfId="2">
      <calculatedColumnFormula>_xlfn.CONCAT("$",A2," = (float)$",A2,";")</calculatedColumnFormula>
    </tableColumn>
    <tableColumn id="11" xr3:uid="{22A709B5-377A-43FE-BCD9-F8E50F563F7B}" name="Form Data" dataDxfId="0">
      <calculatedColumnFormula>_xlfn.CONCAT(A2,":  $('",A2,"').val(),")</calculatedColumnFormula>
    </tableColumn>
    <tableColumn id="4" xr3:uid="{0B07397C-95CB-481D-BF65-D2377E0B05DA}" name="Select Data for Update" dataDxfId="1">
      <calculatedColumnFormula>_xlfn.CONCAT("$",A2," = $row['",A2,"'];")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H25" workbookViewId="0">
      <selection activeCell="J47" sqref="J47"/>
    </sheetView>
  </sheetViews>
  <sheetFormatPr defaultRowHeight="15" x14ac:dyDescent="0.25"/>
  <cols>
    <col min="1" max="1" width="25.42578125" customWidth="1"/>
    <col min="2" max="2" width="50" customWidth="1"/>
    <col min="3" max="3" width="40.28515625" customWidth="1"/>
    <col min="4" max="4" width="51.42578125" customWidth="1"/>
    <col min="5" max="5" width="55.42578125" customWidth="1"/>
    <col min="6" max="6" width="95.140625" customWidth="1"/>
    <col min="7" max="8" width="130.7109375" customWidth="1"/>
    <col min="9" max="10" width="73.140625" customWidth="1"/>
    <col min="11" max="11" width="56.140625" customWidth="1"/>
  </cols>
  <sheetData>
    <row r="1" spans="1:11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79</v>
      </c>
      <c r="K1" s="1" t="s">
        <v>6</v>
      </c>
    </row>
    <row r="2" spans="1:11" x14ac:dyDescent="0.25">
      <c r="A2" t="s">
        <v>11</v>
      </c>
      <c r="B2" t="str">
        <f t="shared" ref="B2:B24" si="0">_xlfn.CONCAT("$",A2,"  =  ",CHAR(34),CHAR(34),";")</f>
        <v>$company_name  =  "";</v>
      </c>
      <c r="C2" t="str">
        <f t="shared" ref="C2:C24" si="1">_xlfn.CONCAT(CHAR(39),"$",A2,CHAR(39))</f>
        <v>'$company_name'</v>
      </c>
      <c r="D2" t="str">
        <f t="shared" ref="D2:D24" si="2">_xlfn.CONCAT(A2," = ",CHAR(39),"$",A2,CHAR(39))</f>
        <v>company_name = '$company_name'</v>
      </c>
      <c r="E2" t="str">
        <f t="shared" ref="E2:E24" si="3">_xlfn.CONCAT("$",A2," = czPostForSQL('",A2,"');")</f>
        <v>$company_name = czPostForSQL('company_name');</v>
      </c>
      <c r="F2" t="str">
        <f t="shared" ref="F2:F24" si="4">_xlfn.CONCAT("&lt;?php echo 'value=",CHAR(34),"' . $",A2," . '",CHAR(34),"'; ?&gt; id = ",CHAR(34),A2,CHAR(34)," name = ", CHAR(34),A2,CHAR(34))</f>
        <v>&lt;?php echo 'value="' . $company_name . '"'; ?&gt; id = "company_name" name = "company_name"</v>
      </c>
      <c r="G2" t="str">
        <f t="shared" ref="G2:G24" si="5">_xlfn.CONCAT(" $temp_whereClause = whereClasueQueryGenerator('",A2,"' ,'=',", "$",A2,",$temp_whereClause);")</f>
        <v xml:space="preserve"> $temp_whereClause = whereClasueQueryGenerator('company_name' ,'=',$company_name,$temp_whereClause);</v>
      </c>
      <c r="H2" t="str">
        <f>_xlfn.CONCAT("echo ",CHAR(34),"&lt;td&gt;",CHAR(34)," . $row['",A2,"'] . ",CHAR(34),"&lt;/td&gt;",CHAR(34),";")</f>
        <v>echo "&lt;td&gt;" . $row['company_name'] . "&lt;/td&gt;";</v>
      </c>
      <c r="I2" t="str">
        <f t="shared" ref="I2:I24" si="6">_xlfn.CONCAT("$",A2," = (float)$",A2,";")</f>
        <v>$company_name = (float)$company_name;</v>
      </c>
      <c r="J2" t="str">
        <f t="shared" ref="J2:J33" si="7">_xlfn.CONCAT(A2,":  $('",A2,"').val(),")</f>
        <v>company_name:  $('company_name').val(),</v>
      </c>
      <c r="K2" t="str">
        <f t="shared" ref="K2:K24" si="8">_xlfn.CONCAT("$",A2," = $row['",A2,"'];")</f>
        <v>$company_name = $row['company_name'];</v>
      </c>
    </row>
    <row r="3" spans="1:11" x14ac:dyDescent="0.25">
      <c r="A3" t="s">
        <v>12</v>
      </c>
      <c r="B3" t="str">
        <f t="shared" si="0"/>
        <v>$display_name  =  "";</v>
      </c>
      <c r="C3" t="str">
        <f t="shared" si="1"/>
        <v>'$display_name'</v>
      </c>
      <c r="D3" t="str">
        <f t="shared" si="2"/>
        <v>display_name = '$display_name'</v>
      </c>
      <c r="E3" t="str">
        <f t="shared" si="3"/>
        <v>$display_name = czPostForSQL('display_name');</v>
      </c>
      <c r="F3" t="str">
        <f t="shared" si="4"/>
        <v>&lt;?php echo 'value="' . $display_name . '"'; ?&gt; id = "display_name" name = "display_name"</v>
      </c>
      <c r="G3" t="str">
        <f t="shared" si="5"/>
        <v xml:space="preserve"> $temp_whereClause = whereClasueQueryGenerator('display_name' ,'=',$display_name,$temp_whereClause);</v>
      </c>
      <c r="H3" t="str">
        <f t="shared" ref="H3:H24" si="9">_xlfn.CONCAT("echo ",CHAR(34),"&lt;td&gt;",CHAR(34)," . $row['",A3,"'] . ",CHAR(34),"&lt;/td&gt;",CHAR(34),";")</f>
        <v>echo "&lt;td&gt;" . $row['display_name'] . "&lt;/td&gt;";</v>
      </c>
      <c r="I3" t="str">
        <f t="shared" si="6"/>
        <v>$display_name = (float)$display_name;</v>
      </c>
      <c r="J3" t="str">
        <f t="shared" si="7"/>
        <v>display_name:  $('display_name').val(),</v>
      </c>
      <c r="K3" t="str">
        <f t="shared" si="8"/>
        <v>$display_name = $row['display_name'];</v>
      </c>
    </row>
    <row r="4" spans="1:11" x14ac:dyDescent="0.25">
      <c r="A4" t="s">
        <v>13</v>
      </c>
      <c r="B4" t="str">
        <f t="shared" si="0"/>
        <v>$b_street_l1  =  "";</v>
      </c>
      <c r="C4" t="str">
        <f t="shared" si="1"/>
        <v>'$b_street_l1'</v>
      </c>
      <c r="D4" t="str">
        <f t="shared" si="2"/>
        <v>b_street_l1 = '$b_street_l1'</v>
      </c>
      <c r="E4" t="str">
        <f t="shared" si="3"/>
        <v>$b_street_l1 = czPostForSQL('b_street_l1');</v>
      </c>
      <c r="F4" t="str">
        <f t="shared" si="4"/>
        <v>&lt;?php echo 'value="' . $b_street_l1 . '"'; ?&gt; id = "b_street_l1" name = "b_street_l1"</v>
      </c>
      <c r="G4" t="str">
        <f t="shared" si="5"/>
        <v xml:space="preserve"> $temp_whereClause = whereClasueQueryGenerator('b_street_l1' ,'=',$b_street_l1,$temp_whereClause);</v>
      </c>
      <c r="H4" t="str">
        <f t="shared" si="9"/>
        <v>echo "&lt;td&gt;" . $row['b_street_l1'] . "&lt;/td&gt;";</v>
      </c>
      <c r="I4" t="str">
        <f t="shared" si="6"/>
        <v>$b_street_l1 = (float)$b_street_l1;</v>
      </c>
      <c r="J4" t="str">
        <f t="shared" si="7"/>
        <v>b_street_l1:  $('b_street_l1').val(),</v>
      </c>
      <c r="K4" t="str">
        <f t="shared" si="8"/>
        <v>$b_street_l1 = $row['b_street_l1'];</v>
      </c>
    </row>
    <row r="5" spans="1:11" x14ac:dyDescent="0.25">
      <c r="A5" t="s">
        <v>14</v>
      </c>
      <c r="B5" t="str">
        <f t="shared" si="0"/>
        <v>$b_street_l2  =  "";</v>
      </c>
      <c r="C5" t="str">
        <f t="shared" si="1"/>
        <v>'$b_street_l2'</v>
      </c>
      <c r="D5" t="str">
        <f t="shared" si="2"/>
        <v>b_street_l2 = '$b_street_l2'</v>
      </c>
      <c r="E5" t="str">
        <f t="shared" si="3"/>
        <v>$b_street_l2 = czPostForSQL('b_street_l2');</v>
      </c>
      <c r="F5" t="str">
        <f t="shared" si="4"/>
        <v>&lt;?php echo 'value="' . $b_street_l2 . '"'; ?&gt; id = "b_street_l2" name = "b_street_l2"</v>
      </c>
      <c r="G5" t="str">
        <f t="shared" si="5"/>
        <v xml:space="preserve"> $temp_whereClause = whereClasueQueryGenerator('b_street_l2' ,'=',$b_street_l2,$temp_whereClause);</v>
      </c>
      <c r="H5" t="str">
        <f t="shared" si="9"/>
        <v>echo "&lt;td&gt;" . $row['b_street_l2'] . "&lt;/td&gt;";</v>
      </c>
      <c r="I5" t="str">
        <f t="shared" si="6"/>
        <v>$b_street_l2 = (float)$b_street_l2;</v>
      </c>
      <c r="J5" t="str">
        <f t="shared" si="7"/>
        <v>b_street_l2:  $('b_street_l2').val(),</v>
      </c>
      <c r="K5" t="str">
        <f t="shared" si="8"/>
        <v>$b_street_l2 = $row['b_street_l2'];</v>
      </c>
    </row>
    <row r="6" spans="1:11" x14ac:dyDescent="0.25">
      <c r="A6" t="s">
        <v>15</v>
      </c>
      <c r="B6" t="str">
        <f t="shared" si="0"/>
        <v>$b_city  =  "";</v>
      </c>
      <c r="C6" t="str">
        <f t="shared" si="1"/>
        <v>'$b_city'</v>
      </c>
      <c r="D6" t="str">
        <f t="shared" si="2"/>
        <v>b_city = '$b_city'</v>
      </c>
      <c r="E6" t="str">
        <f t="shared" si="3"/>
        <v>$b_city = czPostForSQL('b_city');</v>
      </c>
      <c r="F6" t="str">
        <f t="shared" si="4"/>
        <v>&lt;?php echo 'value="' . $b_city . '"'; ?&gt; id = "b_city" name = "b_city"</v>
      </c>
      <c r="G6" t="str">
        <f t="shared" si="5"/>
        <v xml:space="preserve"> $temp_whereClause = whereClasueQueryGenerator('b_city' ,'=',$b_city,$temp_whereClause);</v>
      </c>
      <c r="H6" t="str">
        <f t="shared" si="9"/>
        <v>echo "&lt;td&gt;" . $row['b_city'] . "&lt;/td&gt;";</v>
      </c>
      <c r="I6" t="str">
        <f t="shared" si="6"/>
        <v>$b_city = (float)$b_city;</v>
      </c>
      <c r="J6" t="str">
        <f t="shared" si="7"/>
        <v>b_city:  $('b_city').val(),</v>
      </c>
      <c r="K6" t="str">
        <f t="shared" si="8"/>
        <v>$b_city = $row['b_city'];</v>
      </c>
    </row>
    <row r="7" spans="1:11" x14ac:dyDescent="0.25">
      <c r="A7" t="s">
        <v>16</v>
      </c>
      <c r="B7" t="str">
        <f t="shared" si="0"/>
        <v>$b_state  =  "";</v>
      </c>
      <c r="C7" t="str">
        <f t="shared" si="1"/>
        <v>'$b_state'</v>
      </c>
      <c r="D7" t="str">
        <f t="shared" si="2"/>
        <v>b_state = '$b_state'</v>
      </c>
      <c r="E7" t="str">
        <f t="shared" si="3"/>
        <v>$b_state = czPostForSQL('b_state');</v>
      </c>
      <c r="F7" t="str">
        <f t="shared" si="4"/>
        <v>&lt;?php echo 'value="' . $b_state . '"'; ?&gt; id = "b_state" name = "b_state"</v>
      </c>
      <c r="G7" t="str">
        <f t="shared" si="5"/>
        <v xml:space="preserve"> $temp_whereClause = whereClasueQueryGenerator('b_state' ,'=',$b_state,$temp_whereClause);</v>
      </c>
      <c r="H7" t="str">
        <f t="shared" si="9"/>
        <v>echo "&lt;td&gt;" . $row['b_state'] . "&lt;/td&gt;";</v>
      </c>
      <c r="I7" t="str">
        <f t="shared" si="6"/>
        <v>$b_state = (float)$b_state;</v>
      </c>
      <c r="J7" t="str">
        <f t="shared" si="7"/>
        <v>b_state:  $('b_state').val(),</v>
      </c>
      <c r="K7" t="str">
        <f t="shared" si="8"/>
        <v>$b_state = $row['b_state'];</v>
      </c>
    </row>
    <row r="8" spans="1:11" x14ac:dyDescent="0.25">
      <c r="A8" t="s">
        <v>17</v>
      </c>
      <c r="B8" t="str">
        <f t="shared" si="0"/>
        <v>$b_zip  =  "";</v>
      </c>
      <c r="C8" t="str">
        <f t="shared" si="1"/>
        <v>'$b_zip'</v>
      </c>
      <c r="D8" t="str">
        <f t="shared" si="2"/>
        <v>b_zip = '$b_zip'</v>
      </c>
      <c r="E8" t="str">
        <f t="shared" si="3"/>
        <v>$b_zip = czPostForSQL('b_zip');</v>
      </c>
      <c r="F8" t="str">
        <f t="shared" si="4"/>
        <v>&lt;?php echo 'value="' . $b_zip . '"'; ?&gt; id = "b_zip" name = "b_zip"</v>
      </c>
      <c r="G8" t="str">
        <f t="shared" si="5"/>
        <v xml:space="preserve"> $temp_whereClause = whereClasueQueryGenerator('b_zip' ,'=',$b_zip,$temp_whereClause);</v>
      </c>
      <c r="H8" t="str">
        <f t="shared" si="9"/>
        <v>echo "&lt;td&gt;" . $row['b_zip'] . "&lt;/td&gt;";</v>
      </c>
      <c r="I8" t="str">
        <f t="shared" si="6"/>
        <v>$b_zip = (float)$b_zip;</v>
      </c>
      <c r="J8" t="str">
        <f t="shared" si="7"/>
        <v>b_zip:  $('b_zip').val(),</v>
      </c>
      <c r="K8" t="str">
        <f t="shared" si="8"/>
        <v>$b_zip = $row['b_zip'];</v>
      </c>
    </row>
    <row r="9" spans="1:11" x14ac:dyDescent="0.25">
      <c r="A9" t="s">
        <v>18</v>
      </c>
      <c r="B9" t="str">
        <f t="shared" si="0"/>
        <v>$b_country  =  "";</v>
      </c>
      <c r="C9" t="str">
        <f t="shared" si="1"/>
        <v>'$b_country'</v>
      </c>
      <c r="D9" t="str">
        <f t="shared" si="2"/>
        <v>b_country = '$b_country'</v>
      </c>
      <c r="E9" t="str">
        <f t="shared" si="3"/>
        <v>$b_country = czPostForSQL('b_country');</v>
      </c>
      <c r="F9" t="str">
        <f t="shared" si="4"/>
        <v>&lt;?php echo 'value="' . $b_country . '"'; ?&gt; id = "b_country" name = "b_country"</v>
      </c>
      <c r="G9" t="str">
        <f t="shared" si="5"/>
        <v xml:space="preserve"> $temp_whereClause = whereClasueQueryGenerator('b_country' ,'=',$b_country,$temp_whereClause);</v>
      </c>
      <c r="H9" t="str">
        <f t="shared" si="9"/>
        <v>echo "&lt;td&gt;" . $row['b_country'] . "&lt;/td&gt;";</v>
      </c>
      <c r="I9" t="str">
        <f t="shared" si="6"/>
        <v>$b_country = (float)$b_country;</v>
      </c>
      <c r="J9" t="str">
        <f t="shared" si="7"/>
        <v>b_country:  $('b_country').val(),</v>
      </c>
      <c r="K9" t="str">
        <f t="shared" si="8"/>
        <v>$b_country = $row['b_country'];</v>
      </c>
    </row>
    <row r="10" spans="1:11" x14ac:dyDescent="0.25">
      <c r="A10" t="s">
        <v>19</v>
      </c>
      <c r="B10" t="str">
        <f t="shared" si="0"/>
        <v>$s_street_l1  =  "";</v>
      </c>
      <c r="C10" t="str">
        <f t="shared" si="1"/>
        <v>'$s_street_l1'</v>
      </c>
      <c r="D10" t="str">
        <f t="shared" si="2"/>
        <v>s_street_l1 = '$s_street_l1'</v>
      </c>
      <c r="E10" t="str">
        <f t="shared" si="3"/>
        <v>$s_street_l1 = czPostForSQL('s_street_l1');</v>
      </c>
      <c r="F10" t="str">
        <f t="shared" si="4"/>
        <v>&lt;?php echo 'value="' . $s_street_l1 . '"'; ?&gt; id = "s_street_l1" name = "s_street_l1"</v>
      </c>
      <c r="G10" t="str">
        <f t="shared" si="5"/>
        <v xml:space="preserve"> $temp_whereClause = whereClasueQueryGenerator('s_street_l1' ,'=',$s_street_l1,$temp_whereClause);</v>
      </c>
      <c r="H10" t="str">
        <f t="shared" si="9"/>
        <v>echo "&lt;td&gt;" . $row['s_street_l1'] . "&lt;/td&gt;";</v>
      </c>
      <c r="I10" t="str">
        <f t="shared" si="6"/>
        <v>$s_street_l1 = (float)$s_street_l1;</v>
      </c>
      <c r="J10" t="str">
        <f t="shared" si="7"/>
        <v>s_street_l1:  $('s_street_l1').val(),</v>
      </c>
      <c r="K10" t="str">
        <f t="shared" si="8"/>
        <v>$s_street_l1 = $row['s_street_l1'];</v>
      </c>
    </row>
    <row r="11" spans="1:11" x14ac:dyDescent="0.25">
      <c r="A11" t="s">
        <v>20</v>
      </c>
      <c r="B11" t="str">
        <f t="shared" si="0"/>
        <v>$s_street_l2  =  "";</v>
      </c>
      <c r="C11" t="str">
        <f t="shared" si="1"/>
        <v>'$s_street_l2'</v>
      </c>
      <c r="D11" t="str">
        <f t="shared" si="2"/>
        <v>s_street_l2 = '$s_street_l2'</v>
      </c>
      <c r="E11" t="str">
        <f t="shared" si="3"/>
        <v>$s_street_l2 = czPostForSQL('s_street_l2');</v>
      </c>
      <c r="F11" t="str">
        <f t="shared" si="4"/>
        <v>&lt;?php echo 'value="' . $s_street_l2 . '"'; ?&gt; id = "s_street_l2" name = "s_street_l2"</v>
      </c>
      <c r="G11" t="str">
        <f t="shared" si="5"/>
        <v xml:space="preserve"> $temp_whereClause = whereClasueQueryGenerator('s_street_l2' ,'=',$s_street_l2,$temp_whereClause);</v>
      </c>
      <c r="H11" t="str">
        <f t="shared" si="9"/>
        <v>echo "&lt;td&gt;" . $row['s_street_l2'] . "&lt;/td&gt;";</v>
      </c>
      <c r="I11" t="str">
        <f t="shared" si="6"/>
        <v>$s_street_l2 = (float)$s_street_l2;</v>
      </c>
      <c r="J11" t="str">
        <f t="shared" si="7"/>
        <v>s_street_l2:  $('s_street_l2').val(),</v>
      </c>
      <c r="K11" t="str">
        <f t="shared" si="8"/>
        <v>$s_street_l2 = $row['s_street_l2'];</v>
      </c>
    </row>
    <row r="12" spans="1:11" x14ac:dyDescent="0.25">
      <c r="A12" t="s">
        <v>21</v>
      </c>
      <c r="B12" t="str">
        <f t="shared" si="0"/>
        <v>$s_city  =  "";</v>
      </c>
      <c r="C12" t="str">
        <f t="shared" si="1"/>
        <v>'$s_city'</v>
      </c>
      <c r="D12" t="str">
        <f t="shared" si="2"/>
        <v>s_city = '$s_city'</v>
      </c>
      <c r="E12" t="str">
        <f t="shared" si="3"/>
        <v>$s_city = czPostForSQL('s_city');</v>
      </c>
      <c r="F12" t="str">
        <f t="shared" si="4"/>
        <v>&lt;?php echo 'value="' . $s_city . '"'; ?&gt; id = "s_city" name = "s_city"</v>
      </c>
      <c r="G12" t="str">
        <f t="shared" si="5"/>
        <v xml:space="preserve"> $temp_whereClause = whereClasueQueryGenerator('s_city' ,'=',$s_city,$temp_whereClause);</v>
      </c>
      <c r="H12" t="str">
        <f t="shared" si="9"/>
        <v>echo "&lt;td&gt;" . $row['s_city'] . "&lt;/td&gt;";</v>
      </c>
      <c r="I12" t="str">
        <f t="shared" si="6"/>
        <v>$s_city = (float)$s_city;</v>
      </c>
      <c r="J12" t="str">
        <f t="shared" si="7"/>
        <v>s_city:  $('s_city').val(),</v>
      </c>
      <c r="K12" t="str">
        <f t="shared" si="8"/>
        <v>$s_city = $row['s_city'];</v>
      </c>
    </row>
    <row r="13" spans="1:11" x14ac:dyDescent="0.25">
      <c r="A13" t="s">
        <v>22</v>
      </c>
      <c r="B13" t="str">
        <f t="shared" si="0"/>
        <v>$s_state  =  "";</v>
      </c>
      <c r="C13" t="str">
        <f t="shared" si="1"/>
        <v>'$s_state'</v>
      </c>
      <c r="D13" t="str">
        <f t="shared" si="2"/>
        <v>s_state = '$s_state'</v>
      </c>
      <c r="E13" t="str">
        <f t="shared" si="3"/>
        <v>$s_state = czPostForSQL('s_state');</v>
      </c>
      <c r="F13" t="str">
        <f t="shared" si="4"/>
        <v>&lt;?php echo 'value="' . $s_state . '"'; ?&gt; id = "s_state" name = "s_state"</v>
      </c>
      <c r="G13" t="str">
        <f t="shared" si="5"/>
        <v xml:space="preserve"> $temp_whereClause = whereClasueQueryGenerator('s_state' ,'=',$s_state,$temp_whereClause);</v>
      </c>
      <c r="H13" t="str">
        <f t="shared" si="9"/>
        <v>echo "&lt;td&gt;" . $row['s_state'] . "&lt;/td&gt;";</v>
      </c>
      <c r="I13" t="str">
        <f t="shared" si="6"/>
        <v>$s_state = (float)$s_state;</v>
      </c>
      <c r="J13" t="str">
        <f t="shared" si="7"/>
        <v>s_state:  $('s_state').val(),</v>
      </c>
      <c r="K13" t="str">
        <f t="shared" si="8"/>
        <v>$s_state = $row['s_state'];</v>
      </c>
    </row>
    <row r="14" spans="1:11" x14ac:dyDescent="0.25">
      <c r="A14" t="s">
        <v>23</v>
      </c>
      <c r="B14" t="str">
        <f t="shared" si="0"/>
        <v>$s_zip  =  "";</v>
      </c>
      <c r="C14" t="str">
        <f t="shared" si="1"/>
        <v>'$s_zip'</v>
      </c>
      <c r="D14" t="str">
        <f t="shared" si="2"/>
        <v>s_zip = '$s_zip'</v>
      </c>
      <c r="E14" t="str">
        <f t="shared" si="3"/>
        <v>$s_zip = czPostForSQL('s_zip');</v>
      </c>
      <c r="F14" t="str">
        <f t="shared" si="4"/>
        <v>&lt;?php echo 'value="' . $s_zip . '"'; ?&gt; id = "s_zip" name = "s_zip"</v>
      </c>
      <c r="G14" t="str">
        <f t="shared" si="5"/>
        <v xml:space="preserve"> $temp_whereClause = whereClasueQueryGenerator('s_zip' ,'=',$s_zip,$temp_whereClause);</v>
      </c>
      <c r="H14" t="str">
        <f t="shared" si="9"/>
        <v>echo "&lt;td&gt;" . $row['s_zip'] . "&lt;/td&gt;";</v>
      </c>
      <c r="I14" t="str">
        <f t="shared" si="6"/>
        <v>$s_zip = (float)$s_zip;</v>
      </c>
      <c r="J14" t="str">
        <f t="shared" si="7"/>
        <v>s_zip:  $('s_zip').val(),</v>
      </c>
      <c r="K14" t="str">
        <f t="shared" si="8"/>
        <v>$s_zip = $row['s_zip'];</v>
      </c>
    </row>
    <row r="15" spans="1:11" x14ac:dyDescent="0.25">
      <c r="A15" t="s">
        <v>24</v>
      </c>
      <c r="B15" t="str">
        <f t="shared" si="0"/>
        <v>$s_country  =  "";</v>
      </c>
      <c r="C15" t="str">
        <f t="shared" si="1"/>
        <v>'$s_country'</v>
      </c>
      <c r="D15" t="str">
        <f t="shared" si="2"/>
        <v>s_country = '$s_country'</v>
      </c>
      <c r="E15" t="str">
        <f t="shared" si="3"/>
        <v>$s_country = czPostForSQL('s_country');</v>
      </c>
      <c r="F15" t="str">
        <f t="shared" si="4"/>
        <v>&lt;?php echo 'value="' . $s_country . '"'; ?&gt; id = "s_country" name = "s_country"</v>
      </c>
      <c r="G15" t="str">
        <f t="shared" si="5"/>
        <v xml:space="preserve"> $temp_whereClause = whereClasueQueryGenerator('s_country' ,'=',$s_country,$temp_whereClause);</v>
      </c>
      <c r="H15" t="str">
        <f t="shared" si="9"/>
        <v>echo "&lt;td&gt;" . $row['s_country'] . "&lt;/td&gt;";</v>
      </c>
      <c r="I15" t="str">
        <f t="shared" si="6"/>
        <v>$s_country = (float)$s_country;</v>
      </c>
      <c r="J15" t="str">
        <f t="shared" si="7"/>
        <v>s_country:  $('s_country').val(),</v>
      </c>
      <c r="K15" t="str">
        <f t="shared" si="8"/>
        <v>$s_country = $row['s_country'];</v>
      </c>
    </row>
    <row r="16" spans="1:11" x14ac:dyDescent="0.25">
      <c r="A16" t="s">
        <v>25</v>
      </c>
      <c r="B16" t="str">
        <f t="shared" si="0"/>
        <v>$email  =  "";</v>
      </c>
      <c r="C16" t="str">
        <f t="shared" si="1"/>
        <v>'$email'</v>
      </c>
      <c r="D16" t="str">
        <f t="shared" si="2"/>
        <v>email = '$email'</v>
      </c>
      <c r="E16" t="str">
        <f t="shared" si="3"/>
        <v>$email = czPostForSQL('email');</v>
      </c>
      <c r="F16" t="str">
        <f t="shared" si="4"/>
        <v>&lt;?php echo 'value="' . $email . '"'; ?&gt; id = "email" name = "email"</v>
      </c>
      <c r="G16" t="str">
        <f t="shared" si="5"/>
        <v xml:space="preserve"> $temp_whereClause = whereClasueQueryGenerator('email' ,'=',$email,$temp_whereClause);</v>
      </c>
      <c r="H16" t="str">
        <f t="shared" si="9"/>
        <v>echo "&lt;td&gt;" . $row['email'] . "&lt;/td&gt;";</v>
      </c>
      <c r="I16" t="str">
        <f t="shared" si="6"/>
        <v>$email = (float)$email;</v>
      </c>
      <c r="J16" t="str">
        <f t="shared" si="7"/>
        <v>email:  $('email').val(),</v>
      </c>
      <c r="K16" t="str">
        <f t="shared" si="8"/>
        <v>$email = $row['email'];</v>
      </c>
    </row>
    <row r="17" spans="1:11" x14ac:dyDescent="0.25">
      <c r="A17" t="s">
        <v>26</v>
      </c>
      <c r="B17" t="str">
        <f t="shared" si="0"/>
        <v>$landline  =  "";</v>
      </c>
      <c r="C17" t="str">
        <f t="shared" si="1"/>
        <v>'$landline'</v>
      </c>
      <c r="D17" t="str">
        <f t="shared" si="2"/>
        <v>landline = '$landline'</v>
      </c>
      <c r="E17" t="str">
        <f t="shared" si="3"/>
        <v>$landline = czPostForSQL('landline');</v>
      </c>
      <c r="F17" t="str">
        <f t="shared" si="4"/>
        <v>&lt;?php echo 'value="' . $landline . '"'; ?&gt; id = "landline" name = "landline"</v>
      </c>
      <c r="G17" t="str">
        <f t="shared" si="5"/>
        <v xml:space="preserve"> $temp_whereClause = whereClasueQueryGenerator('landline' ,'=',$landline,$temp_whereClause);</v>
      </c>
      <c r="H17" t="str">
        <f t="shared" si="9"/>
        <v>echo "&lt;td&gt;" . $row['landline'] . "&lt;/td&gt;";</v>
      </c>
      <c r="I17" t="str">
        <f t="shared" si="6"/>
        <v>$landline = (float)$landline;</v>
      </c>
      <c r="J17" t="str">
        <f t="shared" si="7"/>
        <v>landline:  $('landline').val(),</v>
      </c>
      <c r="K17" t="str">
        <f t="shared" si="8"/>
        <v>$landline = $row['landline'];</v>
      </c>
    </row>
    <row r="18" spans="1:11" x14ac:dyDescent="0.25">
      <c r="A18" t="s">
        <v>27</v>
      </c>
      <c r="B18" t="str">
        <f t="shared" si="0"/>
        <v>$mobile  =  "";</v>
      </c>
      <c r="C18" t="str">
        <f t="shared" si="1"/>
        <v>'$mobile'</v>
      </c>
      <c r="D18" t="str">
        <f t="shared" si="2"/>
        <v>mobile = '$mobile'</v>
      </c>
      <c r="E18" t="str">
        <f t="shared" si="3"/>
        <v>$mobile = czPostForSQL('mobile');</v>
      </c>
      <c r="F18" t="str">
        <f t="shared" si="4"/>
        <v>&lt;?php echo 'value="' . $mobile . '"'; ?&gt; id = "mobile" name = "mobile"</v>
      </c>
      <c r="G18" t="str">
        <f t="shared" si="5"/>
        <v xml:space="preserve"> $temp_whereClause = whereClasueQueryGenerator('mobile' ,'=',$mobile,$temp_whereClause);</v>
      </c>
      <c r="H18" t="str">
        <f t="shared" si="9"/>
        <v>echo "&lt;td&gt;" . $row['mobile'] . "&lt;/td&gt;";</v>
      </c>
      <c r="I18" t="str">
        <f t="shared" si="6"/>
        <v>$mobile = (float)$mobile;</v>
      </c>
      <c r="J18" t="str">
        <f t="shared" si="7"/>
        <v>mobile:  $('mobile').val(),</v>
      </c>
      <c r="K18" t="str">
        <f t="shared" si="8"/>
        <v>$mobile = $row['mobile'];</v>
      </c>
    </row>
    <row r="19" spans="1:11" x14ac:dyDescent="0.25">
      <c r="A19" t="s">
        <v>28</v>
      </c>
      <c r="B19" t="str">
        <f t="shared" si="0"/>
        <v>$fax  =  "";</v>
      </c>
      <c r="C19" t="str">
        <f t="shared" si="1"/>
        <v>'$fax'</v>
      </c>
      <c r="D19" t="str">
        <f t="shared" si="2"/>
        <v>fax = '$fax'</v>
      </c>
      <c r="E19" t="str">
        <f t="shared" si="3"/>
        <v>$fax = czPostForSQL('fax');</v>
      </c>
      <c r="F19" t="str">
        <f t="shared" si="4"/>
        <v>&lt;?php echo 'value="' . $fax . '"'; ?&gt; id = "fax" name = "fax"</v>
      </c>
      <c r="G19" t="str">
        <f t="shared" si="5"/>
        <v xml:space="preserve"> $temp_whereClause = whereClasueQueryGenerator('fax' ,'=',$fax,$temp_whereClause);</v>
      </c>
      <c r="H19" t="str">
        <f t="shared" si="9"/>
        <v>echo "&lt;td&gt;" . $row['fax'] . "&lt;/td&gt;";</v>
      </c>
      <c r="I19" t="str">
        <f t="shared" si="6"/>
        <v>$fax = (float)$fax;</v>
      </c>
      <c r="J19" t="str">
        <f t="shared" si="7"/>
        <v>fax:  $('fax').val(),</v>
      </c>
      <c r="K19" t="str">
        <f t="shared" si="8"/>
        <v>$fax = $row['fax'];</v>
      </c>
    </row>
    <row r="20" spans="1:11" x14ac:dyDescent="0.25">
      <c r="A20" t="s">
        <v>29</v>
      </c>
      <c r="B20" t="str">
        <f t="shared" si="0"/>
        <v>$website  =  "";</v>
      </c>
      <c r="C20" t="str">
        <f t="shared" si="1"/>
        <v>'$website'</v>
      </c>
      <c r="D20" t="str">
        <f t="shared" si="2"/>
        <v>website = '$website'</v>
      </c>
      <c r="E20" t="str">
        <f t="shared" si="3"/>
        <v>$website = czPostForSQL('website');</v>
      </c>
      <c r="F20" t="str">
        <f t="shared" si="4"/>
        <v>&lt;?php echo 'value="' . $website . '"'; ?&gt; id = "website" name = "website"</v>
      </c>
      <c r="G20" t="str">
        <f t="shared" si="5"/>
        <v xml:space="preserve"> $temp_whereClause = whereClasueQueryGenerator('website' ,'=',$website,$temp_whereClause);</v>
      </c>
      <c r="H20" t="str">
        <f t="shared" si="9"/>
        <v>echo "&lt;td&gt;" . $row['website'] . "&lt;/td&gt;";</v>
      </c>
      <c r="I20" t="str">
        <f t="shared" si="6"/>
        <v>$website = (float)$website;</v>
      </c>
      <c r="J20" t="str">
        <f t="shared" si="7"/>
        <v>website:  $('website').val(),</v>
      </c>
      <c r="K20" t="str">
        <f t="shared" si="8"/>
        <v>$website = $row['website'];</v>
      </c>
    </row>
    <row r="21" spans="1:11" x14ac:dyDescent="0.25">
      <c r="A21" t="s">
        <v>30</v>
      </c>
      <c r="B21" t="str">
        <f t="shared" si="0"/>
        <v>$other_details  =  "";</v>
      </c>
      <c r="C21" t="str">
        <f t="shared" si="1"/>
        <v>'$other_details'</v>
      </c>
      <c r="D21" t="str">
        <f t="shared" si="2"/>
        <v>other_details = '$other_details'</v>
      </c>
      <c r="E21" t="str">
        <f t="shared" si="3"/>
        <v>$other_details = czPostForSQL('other_details');</v>
      </c>
      <c r="F21" t="str">
        <f t="shared" si="4"/>
        <v>&lt;?php echo 'value="' . $other_details . '"'; ?&gt; id = "other_details" name = "other_details"</v>
      </c>
      <c r="G21" t="str">
        <f t="shared" si="5"/>
        <v xml:space="preserve"> $temp_whereClause = whereClasueQueryGenerator('other_details' ,'=',$other_details,$temp_whereClause);</v>
      </c>
      <c r="H21" t="str">
        <f t="shared" si="9"/>
        <v>echo "&lt;td&gt;" . $row['other_details'] . "&lt;/td&gt;";</v>
      </c>
      <c r="I21" t="str">
        <f t="shared" si="6"/>
        <v>$other_details = (float)$other_details;</v>
      </c>
      <c r="J21" t="str">
        <f t="shared" si="7"/>
        <v>other_details:  $('other_details').val(),</v>
      </c>
      <c r="K21" t="str">
        <f t="shared" si="8"/>
        <v>$other_details = $row['other_details'];</v>
      </c>
    </row>
    <row r="22" spans="1:11" x14ac:dyDescent="0.25">
      <c r="A22" t="s">
        <v>31</v>
      </c>
      <c r="B22" t="str">
        <f t="shared" si="0"/>
        <v>$tin  =  "";</v>
      </c>
      <c r="C22" t="str">
        <f t="shared" si="1"/>
        <v>'$tin'</v>
      </c>
      <c r="D22" t="str">
        <f t="shared" si="2"/>
        <v>tin = '$tin'</v>
      </c>
      <c r="E22" t="str">
        <f t="shared" si="3"/>
        <v>$tin = czPostForSQL('tin');</v>
      </c>
      <c r="F22" t="str">
        <f t="shared" si="4"/>
        <v>&lt;?php echo 'value="' . $tin . '"'; ?&gt; id = "tin" name = "tin"</v>
      </c>
      <c r="G22" t="str">
        <f t="shared" si="5"/>
        <v xml:space="preserve"> $temp_whereClause = whereClasueQueryGenerator('tin' ,'=',$tin,$temp_whereClause);</v>
      </c>
      <c r="H22" t="str">
        <f t="shared" si="9"/>
        <v>echo "&lt;td&gt;" . $row['tin'] . "&lt;/td&gt;";</v>
      </c>
      <c r="I22" t="str">
        <f t="shared" si="6"/>
        <v>$tin = (float)$tin;</v>
      </c>
      <c r="J22" t="str">
        <f t="shared" si="7"/>
        <v>tin:  $('tin').val(),</v>
      </c>
      <c r="K22" t="str">
        <f t="shared" si="8"/>
        <v>$tin = $row['tin'];</v>
      </c>
    </row>
    <row r="23" spans="1:11" x14ac:dyDescent="0.25">
      <c r="A23" t="s">
        <v>32</v>
      </c>
      <c r="B23" t="str">
        <f t="shared" si="0"/>
        <v>$tan  =  "";</v>
      </c>
      <c r="C23" t="str">
        <f t="shared" si="1"/>
        <v>'$tan'</v>
      </c>
      <c r="D23" t="str">
        <f t="shared" si="2"/>
        <v>tan = '$tan'</v>
      </c>
      <c r="E23" t="str">
        <f t="shared" si="3"/>
        <v>$tan = czPostForSQL('tan');</v>
      </c>
      <c r="F23" t="str">
        <f t="shared" si="4"/>
        <v>&lt;?php echo 'value="' . $tan . '"'; ?&gt; id = "tan" name = "tan"</v>
      </c>
      <c r="G23" t="str">
        <f t="shared" si="5"/>
        <v xml:space="preserve"> $temp_whereClause = whereClasueQueryGenerator('tan' ,'=',$tan,$temp_whereClause);</v>
      </c>
      <c r="H23" t="str">
        <f t="shared" si="9"/>
        <v>echo "&lt;td&gt;" . $row['tan'] . "&lt;/td&gt;";</v>
      </c>
      <c r="I23" t="str">
        <f t="shared" si="6"/>
        <v>$tan = (float)$tan;</v>
      </c>
      <c r="J23" t="str">
        <f t="shared" si="7"/>
        <v>tan:  $('tan').val(),</v>
      </c>
      <c r="K23" t="str">
        <f t="shared" si="8"/>
        <v>$tan = $row['tan'];</v>
      </c>
    </row>
    <row r="24" spans="1:11" x14ac:dyDescent="0.25">
      <c r="A24" t="s">
        <v>33</v>
      </c>
      <c r="B24" t="str">
        <f t="shared" si="0"/>
        <v>$cst  =  "";</v>
      </c>
      <c r="C24" t="str">
        <f t="shared" si="1"/>
        <v>'$cst'</v>
      </c>
      <c r="D24" t="str">
        <f t="shared" si="2"/>
        <v>cst = '$cst'</v>
      </c>
      <c r="E24" t="str">
        <f t="shared" si="3"/>
        <v>$cst = czPostForSQL('cst');</v>
      </c>
      <c r="F24" t="str">
        <f t="shared" si="4"/>
        <v>&lt;?php echo 'value="' . $cst . '"'; ?&gt; id = "cst" name = "cst"</v>
      </c>
      <c r="G24" t="str">
        <f t="shared" si="5"/>
        <v xml:space="preserve"> $temp_whereClause = whereClasueQueryGenerator('cst' ,'=',$cst,$temp_whereClause);</v>
      </c>
      <c r="H24" t="str">
        <f t="shared" si="9"/>
        <v>echo "&lt;td&gt;" . $row['cst'] . "&lt;/td&gt;";</v>
      </c>
      <c r="I24" t="str">
        <f t="shared" si="6"/>
        <v>$cst = (float)$cst;</v>
      </c>
      <c r="J24" t="str">
        <f t="shared" si="7"/>
        <v>cst:  $('cst').val(),</v>
      </c>
      <c r="K24" t="str">
        <f t="shared" si="8"/>
        <v>$cst = $row['cst'];</v>
      </c>
    </row>
    <row r="25" spans="1:11" x14ac:dyDescent="0.25">
      <c r="A25" t="s">
        <v>34</v>
      </c>
      <c r="B25" t="str">
        <f t="shared" ref="B25:B69" si="10">_xlfn.CONCAT("$",A25,"  =  ",CHAR(34),CHAR(34),";")</f>
        <v>$pan  =  "";</v>
      </c>
      <c r="C25" t="str">
        <f t="shared" ref="C25:C69" si="11">_xlfn.CONCAT(CHAR(39),"$",A25,CHAR(39))</f>
        <v>'$pan'</v>
      </c>
      <c r="D25" t="str">
        <f t="shared" ref="D25:D69" si="12">_xlfn.CONCAT(A25," = ",CHAR(39),"$",A25,CHAR(39))</f>
        <v>pan = '$pan'</v>
      </c>
      <c r="E25" t="str">
        <f t="shared" ref="E25:E69" si="13">_xlfn.CONCAT("$",A25," = czPostForSQL('",A25,"');")</f>
        <v>$pan = czPostForSQL('pan');</v>
      </c>
      <c r="F25" t="str">
        <f t="shared" ref="F25:F69" si="14">_xlfn.CONCAT("&lt;?php echo 'value=",CHAR(34),"' . $",A25," . '",CHAR(34),"'; ?&gt; id = ",CHAR(34),A25,CHAR(34)," name = ", CHAR(34),A25,CHAR(34))</f>
        <v>&lt;?php echo 'value="' . $pan . '"'; ?&gt; id = "pan" name = "pan"</v>
      </c>
      <c r="G25" t="str">
        <f t="shared" ref="G25:G69" si="15">_xlfn.CONCAT(" $temp_whereClause = whereClasueQueryGenerator('",A25,"' ,'=',", "$",A25,",$temp_whereClause);")</f>
        <v xml:space="preserve"> $temp_whereClause = whereClasueQueryGenerator('pan' ,'=',$pan,$temp_whereClause);</v>
      </c>
      <c r="H25" t="str">
        <f t="shared" ref="H25:H69" si="16">_xlfn.CONCAT("echo ",CHAR(34),"&lt;td&gt;",CHAR(34)," . $row['",A25,"'] . ",CHAR(34),"&lt;/td&gt;",CHAR(34),";")</f>
        <v>echo "&lt;td&gt;" . $row['pan'] . "&lt;/td&gt;";</v>
      </c>
      <c r="I25" t="str">
        <f t="shared" ref="I25:I69" si="17">_xlfn.CONCAT("$",A25," = (float)$",A25,";")</f>
        <v>$pan = (float)$pan;</v>
      </c>
      <c r="J25" t="str">
        <f t="shared" si="7"/>
        <v>pan:  $('pan').val(),</v>
      </c>
      <c r="K25" t="str">
        <f t="shared" ref="K25:K69" si="18">_xlfn.CONCAT("$",A25," = $row['",A25,"'];")</f>
        <v>$pan = $row['pan'];</v>
      </c>
    </row>
    <row r="26" spans="1:11" x14ac:dyDescent="0.25">
      <c r="A26" t="s">
        <v>35</v>
      </c>
      <c r="B26" t="str">
        <f t="shared" si="10"/>
        <v>$service_tax  =  "";</v>
      </c>
      <c r="C26" t="str">
        <f t="shared" si="11"/>
        <v>'$service_tax'</v>
      </c>
      <c r="D26" t="str">
        <f t="shared" si="12"/>
        <v>service_tax = '$service_tax'</v>
      </c>
      <c r="E26" t="str">
        <f t="shared" si="13"/>
        <v>$service_tax = czPostForSQL('service_tax');</v>
      </c>
      <c r="F26" t="str">
        <f t="shared" si="14"/>
        <v>&lt;?php echo 'value="' . $service_tax . '"'; ?&gt; id = "service_tax" name = "service_tax"</v>
      </c>
      <c r="G26" t="str">
        <f t="shared" si="15"/>
        <v xml:space="preserve"> $temp_whereClause = whereClasueQueryGenerator('service_tax' ,'=',$service_tax,$temp_whereClause);</v>
      </c>
      <c r="H26" t="str">
        <f t="shared" si="16"/>
        <v>echo "&lt;td&gt;" . $row['service_tax'] . "&lt;/td&gt;";</v>
      </c>
      <c r="I26" t="str">
        <f t="shared" si="17"/>
        <v>$service_tax = (float)$service_tax;</v>
      </c>
      <c r="J26" t="str">
        <f t="shared" si="7"/>
        <v>service_tax:  $('service_tax').val(),</v>
      </c>
      <c r="K26" t="str">
        <f t="shared" si="18"/>
        <v>$service_tax = $row['service_tax'];</v>
      </c>
    </row>
    <row r="27" spans="1:11" x14ac:dyDescent="0.25">
      <c r="A27" t="s">
        <v>36</v>
      </c>
      <c r="B27" t="str">
        <f t="shared" si="10"/>
        <v>$department  =  "";</v>
      </c>
      <c r="C27" t="str">
        <f t="shared" si="11"/>
        <v>'$department'</v>
      </c>
      <c r="D27" t="str">
        <f t="shared" si="12"/>
        <v>department = '$department'</v>
      </c>
      <c r="E27" t="str">
        <f t="shared" si="13"/>
        <v>$department = czPostForSQL('department');</v>
      </c>
      <c r="F27" t="str">
        <f t="shared" si="14"/>
        <v>&lt;?php echo 'value="' . $department . '"'; ?&gt; id = "department" name = "department"</v>
      </c>
      <c r="G27" t="str">
        <f t="shared" si="15"/>
        <v xml:space="preserve"> $temp_whereClause = whereClasueQueryGenerator('department' ,'=',$department,$temp_whereClause);</v>
      </c>
      <c r="H27" t="str">
        <f t="shared" si="16"/>
        <v>echo "&lt;td&gt;" . $row['department'] . "&lt;/td&gt;";</v>
      </c>
      <c r="I27" t="str">
        <f t="shared" si="17"/>
        <v>$department = (float)$department;</v>
      </c>
      <c r="J27" t="str">
        <f t="shared" si="7"/>
        <v>department:  $('department').val(),</v>
      </c>
      <c r="K27" t="str">
        <f t="shared" si="18"/>
        <v>$department = $row['department'];</v>
      </c>
    </row>
    <row r="28" spans="1:11" x14ac:dyDescent="0.25">
      <c r="A28" t="s">
        <v>37</v>
      </c>
      <c r="B28" t="str">
        <f t="shared" si="10"/>
        <v>$date_of_add  =  "";</v>
      </c>
      <c r="C28" t="str">
        <f t="shared" si="11"/>
        <v>'$date_of_add'</v>
      </c>
      <c r="D28" t="str">
        <f t="shared" si="12"/>
        <v>date_of_add = '$date_of_add'</v>
      </c>
      <c r="E28" t="str">
        <f t="shared" si="13"/>
        <v>$date_of_add = czPostForSQL('date_of_add');</v>
      </c>
      <c r="F28" t="str">
        <f t="shared" si="14"/>
        <v>&lt;?php echo 'value="' . $date_of_add . '"'; ?&gt; id = "date_of_add" name = "date_of_add"</v>
      </c>
      <c r="G28" t="str">
        <f t="shared" si="15"/>
        <v xml:space="preserve"> $temp_whereClause = whereClasueQueryGenerator('date_of_add' ,'=',$date_of_add,$temp_whereClause);</v>
      </c>
      <c r="H28" t="str">
        <f t="shared" si="16"/>
        <v>echo "&lt;td&gt;" . $row['date_of_add'] . "&lt;/td&gt;";</v>
      </c>
      <c r="I28" t="str">
        <f t="shared" si="17"/>
        <v>$date_of_add = (float)$date_of_add;</v>
      </c>
      <c r="J28" t="str">
        <f t="shared" si="7"/>
        <v>date_of_add:  $('date_of_add').val(),</v>
      </c>
      <c r="K28" t="str">
        <f t="shared" si="18"/>
        <v>$date_of_add = $row['date_of_add'];</v>
      </c>
    </row>
    <row r="29" spans="1:11" x14ac:dyDescent="0.25">
      <c r="A29" t="s">
        <v>38</v>
      </c>
      <c r="B29" t="str">
        <f t="shared" si="10"/>
        <v>$payable_opening_balance  =  "";</v>
      </c>
      <c r="C29" t="str">
        <f t="shared" si="11"/>
        <v>'$payable_opening_balance'</v>
      </c>
      <c r="D29" t="str">
        <f t="shared" si="12"/>
        <v>payable_opening_balance = '$payable_opening_balance'</v>
      </c>
      <c r="E29" t="str">
        <f t="shared" si="13"/>
        <v>$payable_opening_balance = czPostForSQL('payable_opening_balance');</v>
      </c>
      <c r="F29" t="str">
        <f t="shared" si="14"/>
        <v>&lt;?php echo 'value="' . $payable_opening_balance . '"'; ?&gt; id = "payable_opening_balance" name = "payable_opening_balance"</v>
      </c>
      <c r="G29" t="str">
        <f t="shared" si="15"/>
        <v xml:space="preserve"> $temp_whereClause = whereClasueQueryGenerator('payable_opening_balance' ,'=',$payable_opening_balance,$temp_whereClause);</v>
      </c>
      <c r="H29" t="str">
        <f t="shared" si="16"/>
        <v>echo "&lt;td&gt;" . $row['payable_opening_balance'] . "&lt;/td&gt;";</v>
      </c>
      <c r="I29" t="str">
        <f t="shared" si="17"/>
        <v>$payable_opening_balance = (float)$payable_opening_balance;</v>
      </c>
      <c r="J29" t="str">
        <f t="shared" si="7"/>
        <v>payable_opening_balance:  $('payable_opening_balance').val(),</v>
      </c>
      <c r="K29" t="str">
        <f t="shared" si="18"/>
        <v>$payable_opening_balance = $row['payable_opening_balance'];</v>
      </c>
    </row>
    <row r="30" spans="1:11" x14ac:dyDescent="0.25">
      <c r="A30" t="s">
        <v>39</v>
      </c>
      <c r="B30" t="str">
        <f t="shared" si="10"/>
        <v>$receivable_opening_balance  =  "";</v>
      </c>
      <c r="C30" t="str">
        <f t="shared" si="11"/>
        <v>'$receivable_opening_balance'</v>
      </c>
      <c r="D30" t="str">
        <f t="shared" si="12"/>
        <v>receivable_opening_balance = '$receivable_opening_balance'</v>
      </c>
      <c r="E30" t="str">
        <f t="shared" si="13"/>
        <v>$receivable_opening_balance = czPostForSQL('receivable_opening_balance');</v>
      </c>
      <c r="F30" t="str">
        <f t="shared" si="14"/>
        <v>&lt;?php echo 'value="' . $receivable_opening_balance . '"'; ?&gt; id = "receivable_opening_balance" name = "receivable_opening_balance"</v>
      </c>
      <c r="G30" t="str">
        <f t="shared" si="15"/>
        <v xml:space="preserve"> $temp_whereClause = whereClasueQueryGenerator('receivable_opening_balance' ,'=',$receivable_opening_balance,$temp_whereClause);</v>
      </c>
      <c r="H30" t="str">
        <f t="shared" si="16"/>
        <v>echo "&lt;td&gt;" . $row['receivable_opening_balance'] . "&lt;/td&gt;";</v>
      </c>
      <c r="I30" t="str">
        <f t="shared" si="17"/>
        <v>$receivable_opening_balance = (float)$receivable_opening_balance;</v>
      </c>
      <c r="J30" t="str">
        <f t="shared" si="7"/>
        <v>receivable_opening_balance:  $('receivable_opening_balance').val(),</v>
      </c>
      <c r="K30" t="str">
        <f t="shared" si="18"/>
        <v>$receivable_opening_balance = $row['receivable_opening_balance'];</v>
      </c>
    </row>
    <row r="31" spans="1:11" x14ac:dyDescent="0.25">
      <c r="A31" t="s">
        <v>40</v>
      </c>
      <c r="B31" t="str">
        <f t="shared" si="10"/>
        <v>$bonus_point  =  "";</v>
      </c>
      <c r="C31" t="str">
        <f t="shared" si="11"/>
        <v>'$bonus_point'</v>
      </c>
      <c r="D31" t="str">
        <f t="shared" si="12"/>
        <v>bonus_point = '$bonus_point'</v>
      </c>
      <c r="E31" t="str">
        <f t="shared" si="13"/>
        <v>$bonus_point = czPostForSQL('bonus_point');</v>
      </c>
      <c r="F31" t="str">
        <f t="shared" si="14"/>
        <v>&lt;?php echo 'value="' . $bonus_point . '"'; ?&gt; id = "bonus_point" name = "bonus_point"</v>
      </c>
      <c r="G31" t="str">
        <f t="shared" si="15"/>
        <v xml:space="preserve"> $temp_whereClause = whereClasueQueryGenerator('bonus_point' ,'=',$bonus_point,$temp_whereClause);</v>
      </c>
      <c r="H31" t="str">
        <f t="shared" si="16"/>
        <v>echo "&lt;td&gt;" . $row['bonus_point'] . "&lt;/td&gt;";</v>
      </c>
      <c r="I31" t="str">
        <f t="shared" si="17"/>
        <v>$bonus_point = (float)$bonus_point;</v>
      </c>
      <c r="J31" t="str">
        <f t="shared" si="7"/>
        <v>bonus_point:  $('bonus_point').val(),</v>
      </c>
      <c r="K31" t="str">
        <f t="shared" si="18"/>
        <v>$bonus_point = $row['bonus_point'];</v>
      </c>
    </row>
    <row r="32" spans="1:11" x14ac:dyDescent="0.25">
      <c r="A32" t="s">
        <v>41</v>
      </c>
      <c r="B32" t="str">
        <f t="shared" si="10"/>
        <v>$contact_person_name  =  "";</v>
      </c>
      <c r="C32" t="str">
        <f t="shared" si="11"/>
        <v>'$contact_person_name'</v>
      </c>
      <c r="D32" t="str">
        <f t="shared" si="12"/>
        <v>contact_person_name = '$contact_person_name'</v>
      </c>
      <c r="E32" t="str">
        <f t="shared" si="13"/>
        <v>$contact_person_name = czPostForSQL('contact_person_name');</v>
      </c>
      <c r="F32" t="str">
        <f t="shared" si="14"/>
        <v>&lt;?php echo 'value="' . $contact_person_name . '"'; ?&gt; id = "contact_person_name" name = "contact_person_name"</v>
      </c>
      <c r="G32" t="str">
        <f t="shared" si="15"/>
        <v xml:space="preserve"> $temp_whereClause = whereClasueQueryGenerator('contact_person_name' ,'=',$contact_person_name,$temp_whereClause);</v>
      </c>
      <c r="H32" t="str">
        <f t="shared" si="16"/>
        <v>echo "&lt;td&gt;" . $row['contact_person_name'] . "&lt;/td&gt;";</v>
      </c>
      <c r="I32" t="str">
        <f t="shared" si="17"/>
        <v>$contact_person_name = (float)$contact_person_name;</v>
      </c>
      <c r="J32" t="str">
        <f t="shared" si="7"/>
        <v>contact_person_name:  $('contact_person_name').val(),</v>
      </c>
      <c r="K32" t="str">
        <f t="shared" si="18"/>
        <v>$contact_person_name = $row['contact_person_name'];</v>
      </c>
    </row>
    <row r="33" spans="1:11" x14ac:dyDescent="0.25">
      <c r="A33" t="s">
        <v>42</v>
      </c>
      <c r="B33" t="str">
        <f t="shared" si="10"/>
        <v>$conatct_person_mobile  =  "";</v>
      </c>
      <c r="C33" t="str">
        <f t="shared" si="11"/>
        <v>'$conatct_person_mobile'</v>
      </c>
      <c r="D33" t="str">
        <f t="shared" si="12"/>
        <v>conatct_person_mobile = '$conatct_person_mobile'</v>
      </c>
      <c r="E33" t="str">
        <f t="shared" si="13"/>
        <v>$conatct_person_mobile = czPostForSQL('conatct_person_mobile');</v>
      </c>
      <c r="F33" t="str">
        <f t="shared" si="14"/>
        <v>&lt;?php echo 'value="' . $conatct_person_mobile . '"'; ?&gt; id = "conatct_person_mobile" name = "conatct_person_mobile"</v>
      </c>
      <c r="G33" t="str">
        <f t="shared" si="15"/>
        <v xml:space="preserve"> $temp_whereClause = whereClasueQueryGenerator('conatct_person_mobile' ,'=',$conatct_person_mobile,$temp_whereClause);</v>
      </c>
      <c r="H33" t="str">
        <f t="shared" si="16"/>
        <v>echo "&lt;td&gt;" . $row['conatct_person_mobile'] . "&lt;/td&gt;";</v>
      </c>
      <c r="I33" t="str">
        <f t="shared" si="17"/>
        <v>$conatct_person_mobile = (float)$conatct_person_mobile;</v>
      </c>
      <c r="J33" t="str">
        <f t="shared" si="7"/>
        <v>conatct_person_mobile:  $('conatct_person_mobile').val(),</v>
      </c>
      <c r="K33" t="str">
        <f t="shared" si="18"/>
        <v>$conatct_person_mobile = $row['conatct_person_mobile'];</v>
      </c>
    </row>
    <row r="34" spans="1:11" x14ac:dyDescent="0.25">
      <c r="A34" t="s">
        <v>43</v>
      </c>
      <c r="B34" t="str">
        <f t="shared" si="10"/>
        <v>$approved_status  =  "";</v>
      </c>
      <c r="C34" t="str">
        <f t="shared" si="11"/>
        <v>'$approved_status'</v>
      </c>
      <c r="D34" t="str">
        <f t="shared" si="12"/>
        <v>approved_status = '$approved_status'</v>
      </c>
      <c r="E34" t="str">
        <f t="shared" si="13"/>
        <v>$approved_status = czPostForSQL('approved_status');</v>
      </c>
      <c r="F34" t="str">
        <f t="shared" si="14"/>
        <v>&lt;?php echo 'value="' . $approved_status . '"'; ?&gt; id = "approved_status" name = "approved_status"</v>
      </c>
      <c r="G34" t="str">
        <f t="shared" si="15"/>
        <v xml:space="preserve"> $temp_whereClause = whereClasueQueryGenerator('approved_status' ,'=',$approved_status,$temp_whereClause);</v>
      </c>
      <c r="H34" t="str">
        <f t="shared" si="16"/>
        <v>echo "&lt;td&gt;" . $row['approved_status'] . "&lt;/td&gt;";</v>
      </c>
      <c r="I34" t="str">
        <f t="shared" si="17"/>
        <v>$approved_status = (float)$approved_status;</v>
      </c>
      <c r="J34" t="str">
        <f t="shared" ref="J34:J69" si="19">_xlfn.CONCAT(A34,":  $('",A34,"').val(),")</f>
        <v>approved_status:  $('approved_status').val(),</v>
      </c>
      <c r="K34" t="str">
        <f t="shared" si="18"/>
        <v>$approved_status = $row['approved_status'];</v>
      </c>
    </row>
    <row r="35" spans="1:11" x14ac:dyDescent="0.25">
      <c r="A35" t="s">
        <v>44</v>
      </c>
      <c r="B35" t="str">
        <f t="shared" si="10"/>
        <v>$image_logo_url  =  "";</v>
      </c>
      <c r="C35" t="str">
        <f t="shared" si="11"/>
        <v>'$image_logo_url'</v>
      </c>
      <c r="D35" t="str">
        <f t="shared" si="12"/>
        <v>image_logo_url = '$image_logo_url'</v>
      </c>
      <c r="E35" t="str">
        <f t="shared" si="13"/>
        <v>$image_logo_url = czPostForSQL('image_logo_url');</v>
      </c>
      <c r="F35" t="str">
        <f t="shared" si="14"/>
        <v>&lt;?php echo 'value="' . $image_logo_url . '"'; ?&gt; id = "image_logo_url" name = "image_logo_url"</v>
      </c>
      <c r="G35" t="str">
        <f t="shared" si="15"/>
        <v xml:space="preserve"> $temp_whereClause = whereClasueQueryGenerator('image_logo_url' ,'=',$image_logo_url,$temp_whereClause);</v>
      </c>
      <c r="H35" t="str">
        <f t="shared" si="16"/>
        <v>echo "&lt;td&gt;" . $row['image_logo_url'] . "&lt;/td&gt;";</v>
      </c>
      <c r="I35" t="str">
        <f t="shared" si="17"/>
        <v>$image_logo_url = (float)$image_logo_url;</v>
      </c>
      <c r="J35" t="str">
        <f t="shared" si="19"/>
        <v>image_logo_url:  $('image_logo_url').val(),</v>
      </c>
      <c r="K35" t="str">
        <f t="shared" si="18"/>
        <v>$image_logo_url = $row['image_logo_url'];</v>
      </c>
    </row>
    <row r="36" spans="1:11" x14ac:dyDescent="0.25">
      <c r="A36" t="s">
        <v>45</v>
      </c>
      <c r="B36" t="str">
        <f t="shared" si="10"/>
        <v>$contact_type  =  "";</v>
      </c>
      <c r="C36" t="str">
        <f t="shared" si="11"/>
        <v>'$contact_type'</v>
      </c>
      <c r="D36" t="str">
        <f t="shared" si="12"/>
        <v>contact_type = '$contact_type'</v>
      </c>
      <c r="E36" t="str">
        <f t="shared" si="13"/>
        <v>$contact_type = czPostForSQL('contact_type');</v>
      </c>
      <c r="F36" t="str">
        <f t="shared" si="14"/>
        <v>&lt;?php echo 'value="' . $contact_type . '"'; ?&gt; id = "contact_type" name = "contact_type"</v>
      </c>
      <c r="G36" t="str">
        <f t="shared" si="15"/>
        <v xml:space="preserve"> $temp_whereClause = whereClasueQueryGenerator('contact_type' ,'=',$contact_type,$temp_whereClause);</v>
      </c>
      <c r="H36" t="str">
        <f t="shared" si="16"/>
        <v>echo "&lt;td&gt;" . $row['contact_type'] . "&lt;/td&gt;";</v>
      </c>
      <c r="I36" t="str">
        <f t="shared" si="17"/>
        <v>$contact_type = (float)$contact_type;</v>
      </c>
      <c r="J36" t="str">
        <f t="shared" si="19"/>
        <v>contact_type:  $('contact_type').val(),</v>
      </c>
      <c r="K36" t="str">
        <f t="shared" si="18"/>
        <v>$contact_type = $row['contact_type'];</v>
      </c>
    </row>
    <row r="37" spans="1:11" x14ac:dyDescent="0.25">
      <c r="A37" t="s">
        <v>46</v>
      </c>
      <c r="B37" t="str">
        <f t="shared" si="10"/>
        <v>$tid  =  "";</v>
      </c>
      <c r="C37" t="str">
        <f t="shared" si="11"/>
        <v>'$tid'</v>
      </c>
      <c r="D37" t="str">
        <f t="shared" si="12"/>
        <v>tid = '$tid'</v>
      </c>
      <c r="E37" t="str">
        <f t="shared" si="13"/>
        <v>$tid = czPostForSQL('tid');</v>
      </c>
      <c r="F37" t="str">
        <f t="shared" si="14"/>
        <v>&lt;?php echo 'value="' . $tid . '"'; ?&gt; id = "tid" name = "tid"</v>
      </c>
      <c r="G37" t="str">
        <f t="shared" si="15"/>
        <v xml:space="preserve"> $temp_whereClause = whereClasueQueryGenerator('tid' ,'=',$tid,$temp_whereClause);</v>
      </c>
      <c r="H37" t="str">
        <f t="shared" si="16"/>
        <v>echo "&lt;td&gt;" . $row['tid'] . "&lt;/td&gt;";</v>
      </c>
      <c r="I37" t="str">
        <f t="shared" si="17"/>
        <v>$tid = (float)$tid;</v>
      </c>
      <c r="J37" t="str">
        <f t="shared" si="19"/>
        <v>tid:  $('tid').val(),</v>
      </c>
      <c r="K37" t="str">
        <f t="shared" si="18"/>
        <v>$tid = $row['tid'];</v>
      </c>
    </row>
    <row r="38" spans="1:11" x14ac:dyDescent="0.25">
      <c r="A38" t="s">
        <v>47</v>
      </c>
      <c r="B38" t="str">
        <f t="shared" si="10"/>
        <v>$credit_amount  =  "";</v>
      </c>
      <c r="C38" t="str">
        <f t="shared" si="11"/>
        <v>'$credit_amount'</v>
      </c>
      <c r="D38" t="str">
        <f t="shared" si="12"/>
        <v>credit_amount = '$credit_amount'</v>
      </c>
      <c r="E38" t="str">
        <f t="shared" si="13"/>
        <v>$credit_amount = czPostForSQL('credit_amount');</v>
      </c>
      <c r="F38" t="str">
        <f t="shared" si="14"/>
        <v>&lt;?php echo 'value="' . $credit_amount . '"'; ?&gt; id = "credit_amount" name = "credit_amount"</v>
      </c>
      <c r="G38" t="str">
        <f t="shared" si="15"/>
        <v xml:space="preserve"> $temp_whereClause = whereClasueQueryGenerator('credit_amount' ,'=',$credit_amount,$temp_whereClause);</v>
      </c>
      <c r="H38" t="str">
        <f t="shared" si="16"/>
        <v>echo "&lt;td&gt;" . $row['credit_amount'] . "&lt;/td&gt;";</v>
      </c>
      <c r="I38" t="str">
        <f t="shared" si="17"/>
        <v>$credit_amount = (float)$credit_amount;</v>
      </c>
      <c r="J38" t="str">
        <f t="shared" si="19"/>
        <v>credit_amount:  $('credit_amount').val(),</v>
      </c>
      <c r="K38" t="str">
        <f t="shared" si="18"/>
        <v>$credit_amount = $row['credit_amount'];</v>
      </c>
    </row>
    <row r="39" spans="1:11" x14ac:dyDescent="0.25">
      <c r="A39" t="s">
        <v>48</v>
      </c>
      <c r="B39" t="str">
        <f t="shared" si="10"/>
        <v>$credit_days  =  "";</v>
      </c>
      <c r="C39" t="str">
        <f t="shared" si="11"/>
        <v>'$credit_days'</v>
      </c>
      <c r="D39" t="str">
        <f t="shared" si="12"/>
        <v>credit_days = '$credit_days'</v>
      </c>
      <c r="E39" t="str">
        <f t="shared" si="13"/>
        <v>$credit_days = czPostForSQL('credit_days');</v>
      </c>
      <c r="F39" t="str">
        <f t="shared" si="14"/>
        <v>&lt;?php echo 'value="' . $credit_days . '"'; ?&gt; id = "credit_days" name = "credit_days"</v>
      </c>
      <c r="G39" t="str">
        <f t="shared" si="15"/>
        <v xml:space="preserve"> $temp_whereClause = whereClasueQueryGenerator('credit_days' ,'=',$credit_days,$temp_whereClause);</v>
      </c>
      <c r="H39" t="str">
        <f t="shared" si="16"/>
        <v>echo "&lt;td&gt;" . $row['credit_days'] . "&lt;/td&gt;";</v>
      </c>
      <c r="I39" t="str">
        <f t="shared" si="17"/>
        <v>$credit_days = (float)$credit_days;</v>
      </c>
      <c r="J39" t="str">
        <f t="shared" si="19"/>
        <v>credit_days:  $('credit_days').val(),</v>
      </c>
      <c r="K39" t="str">
        <f t="shared" si="18"/>
        <v>$credit_days = $row['credit_days'];</v>
      </c>
    </row>
    <row r="40" spans="1:11" x14ac:dyDescent="0.25">
      <c r="A40" t="s">
        <v>49</v>
      </c>
      <c r="B40" t="str">
        <f t="shared" si="10"/>
        <v>$price_list  =  "";</v>
      </c>
      <c r="C40" t="str">
        <f t="shared" si="11"/>
        <v>'$price_list'</v>
      </c>
      <c r="D40" t="str">
        <f t="shared" si="12"/>
        <v>price_list = '$price_list'</v>
      </c>
      <c r="E40" t="str">
        <f t="shared" si="13"/>
        <v>$price_list = czPostForSQL('price_list');</v>
      </c>
      <c r="F40" t="str">
        <f t="shared" si="14"/>
        <v>&lt;?php echo 'value="' . $price_list . '"'; ?&gt; id = "price_list" name = "price_list"</v>
      </c>
      <c r="G40" t="str">
        <f t="shared" si="15"/>
        <v xml:space="preserve"> $temp_whereClause = whereClasueQueryGenerator('price_list' ,'=',$price_list,$temp_whereClause);</v>
      </c>
      <c r="H40" t="str">
        <f t="shared" si="16"/>
        <v>echo "&lt;td&gt;" . $row['price_list'] . "&lt;/td&gt;";</v>
      </c>
      <c r="I40" t="str">
        <f t="shared" si="17"/>
        <v>$price_list = (float)$price_list;</v>
      </c>
      <c r="J40" t="str">
        <f t="shared" si="19"/>
        <v>price_list:  $('price_list').val(),</v>
      </c>
      <c r="K40" t="str">
        <f t="shared" si="18"/>
        <v>$price_list = $row['price_list'];</v>
      </c>
    </row>
    <row r="41" spans="1:11" x14ac:dyDescent="0.25">
      <c r="A41" t="s">
        <v>50</v>
      </c>
      <c r="B41" t="str">
        <f t="shared" si="10"/>
        <v>$a1  =  "";</v>
      </c>
      <c r="C41" t="str">
        <f t="shared" si="11"/>
        <v>'$a1'</v>
      </c>
      <c r="D41" t="str">
        <f t="shared" si="12"/>
        <v>a1 = '$a1'</v>
      </c>
      <c r="E41" t="str">
        <f t="shared" si="13"/>
        <v>$a1 = czPostForSQL('a1');</v>
      </c>
      <c r="F41" t="str">
        <f t="shared" si="14"/>
        <v>&lt;?php echo 'value="' . $a1 . '"'; ?&gt; id = "a1" name = "a1"</v>
      </c>
      <c r="G41" t="str">
        <f t="shared" si="15"/>
        <v xml:space="preserve"> $temp_whereClause = whereClasueQueryGenerator('a1' ,'=',$a1,$temp_whereClause);</v>
      </c>
      <c r="H41" t="str">
        <f t="shared" si="16"/>
        <v>echo "&lt;td&gt;" . $row['a1'] . "&lt;/td&gt;";</v>
      </c>
      <c r="I41" t="str">
        <f t="shared" si="17"/>
        <v>$a1 = (float)$a1;</v>
      </c>
      <c r="J41" t="str">
        <f t="shared" si="19"/>
        <v>a1:  $('a1').val(),</v>
      </c>
      <c r="K41" t="str">
        <f t="shared" si="18"/>
        <v>$a1 = $row['a1'];</v>
      </c>
    </row>
    <row r="42" spans="1:11" x14ac:dyDescent="0.25">
      <c r="A42" t="s">
        <v>51</v>
      </c>
      <c r="B42" t="str">
        <f t="shared" si="10"/>
        <v>$a2  =  "";</v>
      </c>
      <c r="C42" t="str">
        <f t="shared" si="11"/>
        <v>'$a2'</v>
      </c>
      <c r="D42" t="str">
        <f t="shared" si="12"/>
        <v>a2 = '$a2'</v>
      </c>
      <c r="E42" t="str">
        <f t="shared" si="13"/>
        <v>$a2 = czPostForSQL('a2');</v>
      </c>
      <c r="F42" t="str">
        <f t="shared" si="14"/>
        <v>&lt;?php echo 'value="' . $a2 . '"'; ?&gt; id = "a2" name = "a2"</v>
      </c>
      <c r="G42" t="str">
        <f t="shared" si="15"/>
        <v xml:space="preserve"> $temp_whereClause = whereClasueQueryGenerator('a2' ,'=',$a2,$temp_whereClause);</v>
      </c>
      <c r="H42" t="str">
        <f t="shared" si="16"/>
        <v>echo "&lt;td&gt;" . $row['a2'] . "&lt;/td&gt;";</v>
      </c>
      <c r="I42" t="str">
        <f t="shared" si="17"/>
        <v>$a2 = (float)$a2;</v>
      </c>
      <c r="J42" t="str">
        <f t="shared" si="19"/>
        <v>a2:  $('a2').val(),</v>
      </c>
      <c r="K42" t="str">
        <f t="shared" si="18"/>
        <v>$a2 = $row['a2'];</v>
      </c>
    </row>
    <row r="43" spans="1:11" x14ac:dyDescent="0.25">
      <c r="A43" t="s">
        <v>52</v>
      </c>
      <c r="B43" t="str">
        <f t="shared" si="10"/>
        <v>$a3  =  "";</v>
      </c>
      <c r="C43" t="str">
        <f t="shared" si="11"/>
        <v>'$a3'</v>
      </c>
      <c r="D43" t="str">
        <f t="shared" si="12"/>
        <v>a3 = '$a3'</v>
      </c>
      <c r="E43" t="str">
        <f t="shared" si="13"/>
        <v>$a3 = czPostForSQL('a3');</v>
      </c>
      <c r="F43" t="str">
        <f t="shared" si="14"/>
        <v>&lt;?php echo 'value="' . $a3 . '"'; ?&gt; id = "a3" name = "a3"</v>
      </c>
      <c r="G43" t="str">
        <f t="shared" si="15"/>
        <v xml:space="preserve"> $temp_whereClause = whereClasueQueryGenerator('a3' ,'=',$a3,$temp_whereClause);</v>
      </c>
      <c r="H43" t="str">
        <f t="shared" si="16"/>
        <v>echo "&lt;td&gt;" . $row['a3'] . "&lt;/td&gt;";</v>
      </c>
      <c r="I43" t="str">
        <f t="shared" si="17"/>
        <v>$a3 = (float)$a3;</v>
      </c>
      <c r="J43" t="str">
        <f t="shared" si="19"/>
        <v>a3:  $('a3').val(),</v>
      </c>
      <c r="K43" t="str">
        <f t="shared" si="18"/>
        <v>$a3 = $row['a3'];</v>
      </c>
    </row>
    <row r="44" spans="1:11" x14ac:dyDescent="0.25">
      <c r="A44" t="s">
        <v>53</v>
      </c>
      <c r="B44" t="str">
        <f t="shared" si="10"/>
        <v>$a4  =  "";</v>
      </c>
      <c r="C44" t="str">
        <f t="shared" si="11"/>
        <v>'$a4'</v>
      </c>
      <c r="D44" t="str">
        <f t="shared" si="12"/>
        <v>a4 = '$a4'</v>
      </c>
      <c r="E44" t="str">
        <f t="shared" si="13"/>
        <v>$a4 = czPostForSQL('a4');</v>
      </c>
      <c r="F44" t="str">
        <f t="shared" si="14"/>
        <v>&lt;?php echo 'value="' . $a4 . '"'; ?&gt; id = "a4" name = "a4"</v>
      </c>
      <c r="G44" t="str">
        <f t="shared" si="15"/>
        <v xml:space="preserve"> $temp_whereClause = whereClasueQueryGenerator('a4' ,'=',$a4,$temp_whereClause);</v>
      </c>
      <c r="H44" t="str">
        <f t="shared" si="16"/>
        <v>echo "&lt;td&gt;" . $row['a4'] . "&lt;/td&gt;";</v>
      </c>
      <c r="I44" t="str">
        <f t="shared" si="17"/>
        <v>$a4 = (float)$a4;</v>
      </c>
      <c r="J44" t="str">
        <f t="shared" si="19"/>
        <v>a4:  $('a4').val(),</v>
      </c>
      <c r="K44" t="str">
        <f t="shared" si="18"/>
        <v>$a4 = $row['a4'];</v>
      </c>
    </row>
    <row r="45" spans="1:11" x14ac:dyDescent="0.25">
      <c r="A45" t="s">
        <v>54</v>
      </c>
      <c r="B45" t="str">
        <f t="shared" si="10"/>
        <v>$a5  =  "";</v>
      </c>
      <c r="C45" t="str">
        <f t="shared" si="11"/>
        <v>'$a5'</v>
      </c>
      <c r="D45" t="str">
        <f t="shared" si="12"/>
        <v>a5 = '$a5'</v>
      </c>
      <c r="E45" t="str">
        <f t="shared" si="13"/>
        <v>$a5 = czPostForSQL('a5');</v>
      </c>
      <c r="F45" t="str">
        <f t="shared" si="14"/>
        <v>&lt;?php echo 'value="' . $a5 . '"'; ?&gt; id = "a5" name = "a5"</v>
      </c>
      <c r="G45" t="str">
        <f t="shared" si="15"/>
        <v xml:space="preserve"> $temp_whereClause = whereClasueQueryGenerator('a5' ,'=',$a5,$temp_whereClause);</v>
      </c>
      <c r="H45" t="str">
        <f t="shared" si="16"/>
        <v>echo "&lt;td&gt;" . $row['a5'] . "&lt;/td&gt;";</v>
      </c>
      <c r="I45" t="str">
        <f t="shared" si="17"/>
        <v>$a5 = (float)$a5;</v>
      </c>
      <c r="J45" t="str">
        <f t="shared" si="19"/>
        <v>a5:  $('a5').val(),</v>
      </c>
      <c r="K45" t="str">
        <f t="shared" si="18"/>
        <v>$a5 = $row['a5'];</v>
      </c>
    </row>
    <row r="46" spans="1:11" x14ac:dyDescent="0.25">
      <c r="A46" t="s">
        <v>55</v>
      </c>
      <c r="B46" t="str">
        <f t="shared" si="10"/>
        <v>$ad6  =  "";</v>
      </c>
      <c r="C46" t="str">
        <f t="shared" si="11"/>
        <v>'$ad6'</v>
      </c>
      <c r="D46" t="str">
        <f t="shared" si="12"/>
        <v>ad6 = '$ad6'</v>
      </c>
      <c r="E46" t="str">
        <f t="shared" si="13"/>
        <v>$ad6 = czPostForSQL('ad6');</v>
      </c>
      <c r="F46" t="str">
        <f t="shared" si="14"/>
        <v>&lt;?php echo 'value="' . $ad6 . '"'; ?&gt; id = "ad6" name = "ad6"</v>
      </c>
      <c r="G46" t="str">
        <f t="shared" si="15"/>
        <v xml:space="preserve"> $temp_whereClause = whereClasueQueryGenerator('ad6' ,'=',$ad6,$temp_whereClause);</v>
      </c>
      <c r="H46" t="str">
        <f t="shared" si="16"/>
        <v>echo "&lt;td&gt;" . $row['ad6'] . "&lt;/td&gt;";</v>
      </c>
      <c r="I46" t="str">
        <f t="shared" si="17"/>
        <v>$ad6 = (float)$ad6;</v>
      </c>
      <c r="J46" t="str">
        <f t="shared" si="19"/>
        <v>ad6:  $('ad6').val(),</v>
      </c>
      <c r="K46" t="str">
        <f t="shared" si="18"/>
        <v>$ad6 = $row['ad6'];</v>
      </c>
    </row>
    <row r="47" spans="1:11" x14ac:dyDescent="0.25">
      <c r="A47" t="s">
        <v>56</v>
      </c>
      <c r="B47" t="str">
        <f t="shared" si="10"/>
        <v>$ad7  =  "";</v>
      </c>
      <c r="C47" t="str">
        <f t="shared" si="11"/>
        <v>'$ad7'</v>
      </c>
      <c r="D47" t="str">
        <f t="shared" si="12"/>
        <v>ad7 = '$ad7'</v>
      </c>
      <c r="E47" t="str">
        <f t="shared" si="13"/>
        <v>$ad7 = czPostForSQL('ad7');</v>
      </c>
      <c r="F47" t="str">
        <f t="shared" si="14"/>
        <v>&lt;?php echo 'value="' . $ad7 . '"'; ?&gt; id = "ad7" name = "ad7"</v>
      </c>
      <c r="G47" t="str">
        <f t="shared" si="15"/>
        <v xml:space="preserve"> $temp_whereClause = whereClasueQueryGenerator('ad7' ,'=',$ad7,$temp_whereClause);</v>
      </c>
      <c r="H47" t="str">
        <f t="shared" si="16"/>
        <v>echo "&lt;td&gt;" . $row['ad7'] . "&lt;/td&gt;";</v>
      </c>
      <c r="I47" t="str">
        <f t="shared" si="17"/>
        <v>$ad7 = (float)$ad7;</v>
      </c>
      <c r="J47" t="str">
        <f t="shared" si="19"/>
        <v>ad7:  $('ad7').val(),</v>
      </c>
      <c r="K47" t="str">
        <f t="shared" si="18"/>
        <v>$ad7 = $row['ad7'];</v>
      </c>
    </row>
    <row r="48" spans="1:11" x14ac:dyDescent="0.25">
      <c r="A48" t="s">
        <v>57</v>
      </c>
      <c r="B48" t="str">
        <f t="shared" si="10"/>
        <v>$ad8  =  "";</v>
      </c>
      <c r="C48" t="str">
        <f t="shared" si="11"/>
        <v>'$ad8'</v>
      </c>
      <c r="D48" t="str">
        <f t="shared" si="12"/>
        <v>ad8 = '$ad8'</v>
      </c>
      <c r="E48" t="str">
        <f t="shared" si="13"/>
        <v>$ad8 = czPostForSQL('ad8');</v>
      </c>
      <c r="F48" t="str">
        <f t="shared" si="14"/>
        <v>&lt;?php echo 'value="' . $ad8 . '"'; ?&gt; id = "ad8" name = "ad8"</v>
      </c>
      <c r="G48" t="str">
        <f t="shared" si="15"/>
        <v xml:space="preserve"> $temp_whereClause = whereClasueQueryGenerator('ad8' ,'=',$ad8,$temp_whereClause);</v>
      </c>
      <c r="H48" t="str">
        <f t="shared" si="16"/>
        <v>echo "&lt;td&gt;" . $row['ad8'] . "&lt;/td&gt;";</v>
      </c>
      <c r="I48" t="str">
        <f t="shared" si="17"/>
        <v>$ad8 = (float)$ad8;</v>
      </c>
      <c r="J48" t="str">
        <f t="shared" si="19"/>
        <v>ad8:  $('ad8').val(),</v>
      </c>
      <c r="K48" t="str">
        <f t="shared" si="18"/>
        <v>$ad8 = $row['ad8'];</v>
      </c>
    </row>
    <row r="49" spans="1:11" x14ac:dyDescent="0.25">
      <c r="A49" t="s">
        <v>58</v>
      </c>
      <c r="B49" t="str">
        <f t="shared" si="10"/>
        <v>$ad9  =  "";</v>
      </c>
      <c r="C49" t="str">
        <f t="shared" si="11"/>
        <v>'$ad9'</v>
      </c>
      <c r="D49" t="str">
        <f t="shared" si="12"/>
        <v>ad9 = '$ad9'</v>
      </c>
      <c r="E49" t="str">
        <f t="shared" si="13"/>
        <v>$ad9 = czPostForSQL('ad9');</v>
      </c>
      <c r="F49" t="str">
        <f t="shared" si="14"/>
        <v>&lt;?php echo 'value="' . $ad9 . '"'; ?&gt; id = "ad9" name = "ad9"</v>
      </c>
      <c r="G49" t="str">
        <f t="shared" si="15"/>
        <v xml:space="preserve"> $temp_whereClause = whereClasueQueryGenerator('ad9' ,'=',$ad9,$temp_whereClause);</v>
      </c>
      <c r="H49" t="str">
        <f t="shared" si="16"/>
        <v>echo "&lt;td&gt;" . $row['ad9'] . "&lt;/td&gt;";</v>
      </c>
      <c r="I49" t="str">
        <f t="shared" si="17"/>
        <v>$ad9 = (float)$ad9;</v>
      </c>
      <c r="J49" t="str">
        <f t="shared" si="19"/>
        <v>ad9:  $('ad9').val(),</v>
      </c>
      <c r="K49" t="str">
        <f t="shared" si="18"/>
        <v>$ad9 = $row['ad9'];</v>
      </c>
    </row>
    <row r="50" spans="1:11" x14ac:dyDescent="0.25">
      <c r="A50" t="s">
        <v>59</v>
      </c>
      <c r="B50" t="str">
        <f t="shared" si="10"/>
        <v>$ad10  =  "";</v>
      </c>
      <c r="C50" t="str">
        <f t="shared" si="11"/>
        <v>'$ad10'</v>
      </c>
      <c r="D50" t="str">
        <f t="shared" si="12"/>
        <v>ad10 = '$ad10'</v>
      </c>
      <c r="E50" t="str">
        <f t="shared" si="13"/>
        <v>$ad10 = czPostForSQL('ad10');</v>
      </c>
      <c r="F50" t="str">
        <f t="shared" si="14"/>
        <v>&lt;?php echo 'value="' . $ad10 . '"'; ?&gt; id = "ad10" name = "ad10"</v>
      </c>
      <c r="G50" t="str">
        <f t="shared" si="15"/>
        <v xml:space="preserve"> $temp_whereClause = whereClasueQueryGenerator('ad10' ,'=',$ad10,$temp_whereClause);</v>
      </c>
      <c r="H50" t="str">
        <f t="shared" si="16"/>
        <v>echo "&lt;td&gt;" . $row['ad10'] . "&lt;/td&gt;";</v>
      </c>
      <c r="I50" t="str">
        <f t="shared" si="17"/>
        <v>$ad10 = (float)$ad10;</v>
      </c>
      <c r="J50" t="str">
        <f t="shared" si="19"/>
        <v>ad10:  $('ad10').val(),</v>
      </c>
      <c r="K50" t="str">
        <f t="shared" si="18"/>
        <v>$ad10 = $row['ad10'];</v>
      </c>
    </row>
    <row r="51" spans="1:11" x14ac:dyDescent="0.25">
      <c r="A51" t="s">
        <v>60</v>
      </c>
      <c r="B51" t="str">
        <f t="shared" si="10"/>
        <v>$ad11  =  "";</v>
      </c>
      <c r="C51" t="str">
        <f t="shared" si="11"/>
        <v>'$ad11'</v>
      </c>
      <c r="D51" t="str">
        <f t="shared" si="12"/>
        <v>ad11 = '$ad11'</v>
      </c>
      <c r="E51" t="str">
        <f t="shared" si="13"/>
        <v>$ad11 = czPostForSQL('ad11');</v>
      </c>
      <c r="F51" t="str">
        <f t="shared" si="14"/>
        <v>&lt;?php echo 'value="' . $ad11 . '"'; ?&gt; id = "ad11" name = "ad11"</v>
      </c>
      <c r="G51" t="str">
        <f t="shared" si="15"/>
        <v xml:space="preserve"> $temp_whereClause = whereClasueQueryGenerator('ad11' ,'=',$ad11,$temp_whereClause);</v>
      </c>
      <c r="H51" t="str">
        <f t="shared" si="16"/>
        <v>echo "&lt;td&gt;" . $row['ad11'] . "&lt;/td&gt;";</v>
      </c>
      <c r="I51" t="str">
        <f t="shared" si="17"/>
        <v>$ad11 = (float)$ad11;</v>
      </c>
      <c r="J51" t="str">
        <f t="shared" si="19"/>
        <v>ad11:  $('ad11').val(),</v>
      </c>
      <c r="K51" t="str">
        <f t="shared" si="18"/>
        <v>$ad11 = $row['ad11'];</v>
      </c>
    </row>
    <row r="52" spans="1:11" x14ac:dyDescent="0.25">
      <c r="A52" t="s">
        <v>61</v>
      </c>
      <c r="B52" t="str">
        <f t="shared" si="10"/>
        <v>$ad12  =  "";</v>
      </c>
      <c r="C52" t="str">
        <f t="shared" si="11"/>
        <v>'$ad12'</v>
      </c>
      <c r="D52" t="str">
        <f t="shared" si="12"/>
        <v>ad12 = '$ad12'</v>
      </c>
      <c r="E52" t="str">
        <f t="shared" si="13"/>
        <v>$ad12 = czPostForSQL('ad12');</v>
      </c>
      <c r="F52" t="str">
        <f t="shared" si="14"/>
        <v>&lt;?php echo 'value="' . $ad12 . '"'; ?&gt; id = "ad12" name = "ad12"</v>
      </c>
      <c r="G52" t="str">
        <f t="shared" si="15"/>
        <v xml:space="preserve"> $temp_whereClause = whereClasueQueryGenerator('ad12' ,'=',$ad12,$temp_whereClause);</v>
      </c>
      <c r="H52" t="str">
        <f t="shared" si="16"/>
        <v>echo "&lt;td&gt;" . $row['ad12'] . "&lt;/td&gt;";</v>
      </c>
      <c r="I52" t="str">
        <f t="shared" si="17"/>
        <v>$ad12 = (float)$ad12;</v>
      </c>
      <c r="J52" t="str">
        <f t="shared" si="19"/>
        <v>ad12:  $('ad12').val(),</v>
      </c>
      <c r="K52" t="str">
        <f t="shared" si="18"/>
        <v>$ad12 = $row['ad12'];</v>
      </c>
    </row>
    <row r="53" spans="1:11" x14ac:dyDescent="0.25">
      <c r="A53" t="s">
        <v>62</v>
      </c>
      <c r="B53" t="str">
        <f t="shared" si="10"/>
        <v>$ad13  =  "";</v>
      </c>
      <c r="C53" t="str">
        <f t="shared" si="11"/>
        <v>'$ad13'</v>
      </c>
      <c r="D53" t="str">
        <f t="shared" si="12"/>
        <v>ad13 = '$ad13'</v>
      </c>
      <c r="E53" t="str">
        <f t="shared" si="13"/>
        <v>$ad13 = czPostForSQL('ad13');</v>
      </c>
      <c r="F53" t="str">
        <f t="shared" si="14"/>
        <v>&lt;?php echo 'value="' . $ad13 . '"'; ?&gt; id = "ad13" name = "ad13"</v>
      </c>
      <c r="G53" t="str">
        <f t="shared" si="15"/>
        <v xml:space="preserve"> $temp_whereClause = whereClasueQueryGenerator('ad13' ,'=',$ad13,$temp_whereClause);</v>
      </c>
      <c r="H53" t="str">
        <f t="shared" si="16"/>
        <v>echo "&lt;td&gt;" . $row['ad13'] . "&lt;/td&gt;";</v>
      </c>
      <c r="I53" t="str">
        <f t="shared" si="17"/>
        <v>$ad13 = (float)$ad13;</v>
      </c>
      <c r="J53" t="str">
        <f t="shared" si="19"/>
        <v>ad13:  $('ad13').val(),</v>
      </c>
      <c r="K53" t="str">
        <f t="shared" si="18"/>
        <v>$ad13 = $row['ad13'];</v>
      </c>
    </row>
    <row r="54" spans="1:11" x14ac:dyDescent="0.25">
      <c r="A54" t="s">
        <v>63</v>
      </c>
      <c r="B54" t="str">
        <f t="shared" si="10"/>
        <v>$ad14  =  "";</v>
      </c>
      <c r="C54" t="str">
        <f t="shared" si="11"/>
        <v>'$ad14'</v>
      </c>
      <c r="D54" t="str">
        <f t="shared" si="12"/>
        <v>ad14 = '$ad14'</v>
      </c>
      <c r="E54" t="str">
        <f t="shared" si="13"/>
        <v>$ad14 = czPostForSQL('ad14');</v>
      </c>
      <c r="F54" t="str">
        <f t="shared" si="14"/>
        <v>&lt;?php echo 'value="' . $ad14 . '"'; ?&gt; id = "ad14" name = "ad14"</v>
      </c>
      <c r="G54" t="str">
        <f t="shared" si="15"/>
        <v xml:space="preserve"> $temp_whereClause = whereClasueQueryGenerator('ad14' ,'=',$ad14,$temp_whereClause);</v>
      </c>
      <c r="H54" t="str">
        <f t="shared" si="16"/>
        <v>echo "&lt;td&gt;" . $row['ad14'] . "&lt;/td&gt;";</v>
      </c>
      <c r="I54" t="str">
        <f t="shared" si="17"/>
        <v>$ad14 = (float)$ad14;</v>
      </c>
      <c r="J54" t="str">
        <f t="shared" si="19"/>
        <v>ad14:  $('ad14').val(),</v>
      </c>
      <c r="K54" t="str">
        <f t="shared" si="18"/>
        <v>$ad14 = $row['ad14'];</v>
      </c>
    </row>
    <row r="55" spans="1:11" x14ac:dyDescent="0.25">
      <c r="A55" t="s">
        <v>64</v>
      </c>
      <c r="B55" t="str">
        <f t="shared" si="10"/>
        <v>$ad15  =  "";</v>
      </c>
      <c r="C55" t="str">
        <f t="shared" si="11"/>
        <v>'$ad15'</v>
      </c>
      <c r="D55" t="str">
        <f t="shared" si="12"/>
        <v>ad15 = '$ad15'</v>
      </c>
      <c r="E55" t="str">
        <f t="shared" si="13"/>
        <v>$ad15 = czPostForSQL('ad15');</v>
      </c>
      <c r="F55" t="str">
        <f t="shared" si="14"/>
        <v>&lt;?php echo 'value="' . $ad15 . '"'; ?&gt; id = "ad15" name = "ad15"</v>
      </c>
      <c r="G55" t="str">
        <f t="shared" si="15"/>
        <v xml:space="preserve"> $temp_whereClause = whereClasueQueryGenerator('ad15' ,'=',$ad15,$temp_whereClause);</v>
      </c>
      <c r="H55" t="str">
        <f t="shared" si="16"/>
        <v>echo "&lt;td&gt;" . $row['ad15'] . "&lt;/td&gt;";</v>
      </c>
      <c r="I55" t="str">
        <f t="shared" si="17"/>
        <v>$ad15 = (float)$ad15;</v>
      </c>
      <c r="J55" t="str">
        <f t="shared" si="19"/>
        <v>ad15:  $('ad15').val(),</v>
      </c>
      <c r="K55" t="str">
        <f t="shared" si="18"/>
        <v>$ad15 = $row['ad15'];</v>
      </c>
    </row>
    <row r="56" spans="1:11" x14ac:dyDescent="0.25">
      <c r="A56" t="s">
        <v>65</v>
      </c>
      <c r="B56" t="str">
        <f t="shared" si="10"/>
        <v>$date_of_birth  =  "";</v>
      </c>
      <c r="C56" t="str">
        <f t="shared" si="11"/>
        <v>'$date_of_birth'</v>
      </c>
      <c r="D56" t="str">
        <f t="shared" si="12"/>
        <v>date_of_birth = '$date_of_birth'</v>
      </c>
      <c r="E56" t="str">
        <f t="shared" si="13"/>
        <v>$date_of_birth = czPostForSQL('date_of_birth');</v>
      </c>
      <c r="F56" t="str">
        <f t="shared" si="14"/>
        <v>&lt;?php echo 'value="' . $date_of_birth . '"'; ?&gt; id = "date_of_birth" name = "date_of_birth"</v>
      </c>
      <c r="G56" t="str">
        <f t="shared" si="15"/>
        <v xml:space="preserve"> $temp_whereClause = whereClasueQueryGenerator('date_of_birth' ,'=',$date_of_birth,$temp_whereClause);</v>
      </c>
      <c r="H56" t="str">
        <f t="shared" si="16"/>
        <v>echo "&lt;td&gt;" . $row['date_of_birth'] . "&lt;/td&gt;";</v>
      </c>
      <c r="I56" t="str">
        <f t="shared" si="17"/>
        <v>$date_of_birth = (float)$date_of_birth;</v>
      </c>
      <c r="J56" t="str">
        <f t="shared" si="19"/>
        <v>date_of_birth:  $('date_of_birth').val(),</v>
      </c>
      <c r="K56" t="str">
        <f t="shared" si="18"/>
        <v>$date_of_birth = $row['date_of_birth'];</v>
      </c>
    </row>
    <row r="57" spans="1:11" x14ac:dyDescent="0.25">
      <c r="A57" t="s">
        <v>66</v>
      </c>
      <c r="B57" t="str">
        <f t="shared" si="10"/>
        <v>$accounts_manager  =  "";</v>
      </c>
      <c r="C57" t="str">
        <f t="shared" si="11"/>
        <v>'$accounts_manager'</v>
      </c>
      <c r="D57" t="str">
        <f t="shared" si="12"/>
        <v>accounts_manager = '$accounts_manager'</v>
      </c>
      <c r="E57" t="str">
        <f t="shared" si="13"/>
        <v>$accounts_manager = czPostForSQL('accounts_manager');</v>
      </c>
      <c r="F57" t="str">
        <f t="shared" si="14"/>
        <v>&lt;?php echo 'value="' . $accounts_manager . '"'; ?&gt; id = "accounts_manager" name = "accounts_manager"</v>
      </c>
      <c r="G57" t="str">
        <f t="shared" si="15"/>
        <v xml:space="preserve"> $temp_whereClause = whereClasueQueryGenerator('accounts_manager' ,'=',$accounts_manager,$temp_whereClause);</v>
      </c>
      <c r="H57" t="str">
        <f t="shared" si="16"/>
        <v>echo "&lt;td&gt;" . $row['accounts_manager'] . "&lt;/td&gt;";</v>
      </c>
      <c r="I57" t="str">
        <f t="shared" si="17"/>
        <v>$accounts_manager = (float)$accounts_manager;</v>
      </c>
      <c r="J57" t="str">
        <f t="shared" si="19"/>
        <v>accounts_manager:  $('accounts_manager').val(),</v>
      </c>
      <c r="K57" t="str">
        <f t="shared" si="18"/>
        <v>$accounts_manager = $row['accounts_manager'];</v>
      </c>
    </row>
    <row r="58" spans="1:11" x14ac:dyDescent="0.25">
      <c r="A58" t="s">
        <v>67</v>
      </c>
      <c r="B58" t="str">
        <f t="shared" si="10"/>
        <v>$date_of_anniversary  =  "";</v>
      </c>
      <c r="C58" t="str">
        <f t="shared" si="11"/>
        <v>'$date_of_anniversary'</v>
      </c>
      <c r="D58" t="str">
        <f t="shared" si="12"/>
        <v>date_of_anniversary = '$date_of_anniversary'</v>
      </c>
      <c r="E58" t="str">
        <f t="shared" si="13"/>
        <v>$date_of_anniversary = czPostForSQL('date_of_anniversary');</v>
      </c>
      <c r="F58" t="str">
        <f t="shared" si="14"/>
        <v>&lt;?php echo 'value="' . $date_of_anniversary . '"'; ?&gt; id = "date_of_anniversary" name = "date_of_anniversary"</v>
      </c>
      <c r="G58" t="str">
        <f t="shared" si="15"/>
        <v xml:space="preserve"> $temp_whereClause = whereClasueQueryGenerator('date_of_anniversary' ,'=',$date_of_anniversary,$temp_whereClause);</v>
      </c>
      <c r="H58" t="str">
        <f t="shared" si="16"/>
        <v>echo "&lt;td&gt;" . $row['date_of_anniversary'] . "&lt;/td&gt;";</v>
      </c>
      <c r="I58" t="str">
        <f t="shared" si="17"/>
        <v>$date_of_anniversary = (float)$date_of_anniversary;</v>
      </c>
      <c r="J58" t="str">
        <f t="shared" si="19"/>
        <v>date_of_anniversary:  $('date_of_anniversary').val(),</v>
      </c>
      <c r="K58" t="str">
        <f t="shared" si="18"/>
        <v>$date_of_anniversary = $row['date_of_anniversary'];</v>
      </c>
    </row>
    <row r="59" spans="1:11" x14ac:dyDescent="0.25">
      <c r="A59" t="s">
        <v>68</v>
      </c>
      <c r="B59" t="str">
        <f t="shared" si="10"/>
        <v>$bank_details  =  "";</v>
      </c>
      <c r="C59" t="str">
        <f t="shared" si="11"/>
        <v>'$bank_details'</v>
      </c>
      <c r="D59" t="str">
        <f t="shared" si="12"/>
        <v>bank_details = '$bank_details'</v>
      </c>
      <c r="E59" t="str">
        <f t="shared" si="13"/>
        <v>$bank_details = czPostForSQL('bank_details');</v>
      </c>
      <c r="F59" t="str">
        <f t="shared" si="14"/>
        <v>&lt;?php echo 'value="' . $bank_details . '"'; ?&gt; id = "bank_details" name = "bank_details"</v>
      </c>
      <c r="G59" t="str">
        <f t="shared" si="15"/>
        <v xml:space="preserve"> $temp_whereClause = whereClasueQueryGenerator('bank_details' ,'=',$bank_details,$temp_whereClause);</v>
      </c>
      <c r="H59" t="str">
        <f t="shared" si="16"/>
        <v>echo "&lt;td&gt;" . $row['bank_details'] . "&lt;/td&gt;";</v>
      </c>
      <c r="I59" t="str">
        <f t="shared" si="17"/>
        <v>$bank_details = (float)$bank_details;</v>
      </c>
      <c r="J59" t="str">
        <f t="shared" si="19"/>
        <v>bank_details:  $('bank_details').val(),</v>
      </c>
      <c r="K59" t="str">
        <f t="shared" si="18"/>
        <v>$bank_details = $row['bank_details'];</v>
      </c>
    </row>
    <row r="60" spans="1:11" x14ac:dyDescent="0.25">
      <c r="A60" t="s">
        <v>69</v>
      </c>
      <c r="B60" t="str">
        <f t="shared" si="10"/>
        <v>$agent_name  =  "";</v>
      </c>
      <c r="C60" t="str">
        <f t="shared" si="11"/>
        <v>'$agent_name'</v>
      </c>
      <c r="D60" t="str">
        <f t="shared" si="12"/>
        <v>agent_name = '$agent_name'</v>
      </c>
      <c r="E60" t="str">
        <f t="shared" si="13"/>
        <v>$agent_name = czPostForSQL('agent_name');</v>
      </c>
      <c r="F60" t="str">
        <f t="shared" si="14"/>
        <v>&lt;?php echo 'value="' . $agent_name . '"'; ?&gt; id = "agent_name" name = "agent_name"</v>
      </c>
      <c r="G60" t="str">
        <f t="shared" si="15"/>
        <v xml:space="preserve"> $temp_whereClause = whereClasueQueryGenerator('agent_name' ,'=',$agent_name,$temp_whereClause);</v>
      </c>
      <c r="H60" t="str">
        <f t="shared" si="16"/>
        <v>echo "&lt;td&gt;" . $row['agent_name'] . "&lt;/td&gt;";</v>
      </c>
      <c r="I60" t="str">
        <f t="shared" si="17"/>
        <v>$agent_name = (float)$agent_name;</v>
      </c>
      <c r="J60" t="str">
        <f t="shared" si="19"/>
        <v>agent_name:  $('agent_name').val(),</v>
      </c>
      <c r="K60" t="str">
        <f t="shared" si="18"/>
        <v>$agent_name = $row['agent_name'];</v>
      </c>
    </row>
    <row r="61" spans="1:11" x14ac:dyDescent="0.25">
      <c r="A61" t="s">
        <v>70</v>
      </c>
      <c r="B61" t="str">
        <f t="shared" si="10"/>
        <v>$dealer_name  =  "";</v>
      </c>
      <c r="C61" t="str">
        <f t="shared" si="11"/>
        <v>'$dealer_name'</v>
      </c>
      <c r="D61" t="str">
        <f t="shared" si="12"/>
        <v>dealer_name = '$dealer_name'</v>
      </c>
      <c r="E61" t="str">
        <f t="shared" si="13"/>
        <v>$dealer_name = czPostForSQL('dealer_name');</v>
      </c>
      <c r="F61" t="str">
        <f t="shared" si="14"/>
        <v>&lt;?php echo 'value="' . $dealer_name . '"'; ?&gt; id = "dealer_name" name = "dealer_name"</v>
      </c>
      <c r="G61" t="str">
        <f t="shared" si="15"/>
        <v xml:space="preserve"> $temp_whereClause = whereClasueQueryGenerator('dealer_name' ,'=',$dealer_name,$temp_whereClause);</v>
      </c>
      <c r="H61" t="str">
        <f t="shared" si="16"/>
        <v>echo "&lt;td&gt;" . $row['dealer_name'] . "&lt;/td&gt;";</v>
      </c>
      <c r="I61" t="str">
        <f t="shared" si="17"/>
        <v>$dealer_name = (float)$dealer_name;</v>
      </c>
      <c r="J61" t="str">
        <f t="shared" si="19"/>
        <v>dealer_name:  $('dealer_name').val(),</v>
      </c>
      <c r="K61" t="str">
        <f t="shared" si="18"/>
        <v>$dealer_name = $row['dealer_name'];</v>
      </c>
    </row>
    <row r="62" spans="1:11" x14ac:dyDescent="0.25">
      <c r="A62" t="s">
        <v>71</v>
      </c>
      <c r="B62" t="str">
        <f t="shared" si="10"/>
        <v>$last_updated_date  =  "";</v>
      </c>
      <c r="C62" t="str">
        <f t="shared" si="11"/>
        <v>'$last_updated_date'</v>
      </c>
      <c r="D62" t="str">
        <f t="shared" si="12"/>
        <v>last_updated_date = '$last_updated_date'</v>
      </c>
      <c r="E62" t="str">
        <f t="shared" si="13"/>
        <v>$last_updated_date = czPostForSQL('last_updated_date');</v>
      </c>
      <c r="F62" t="str">
        <f t="shared" si="14"/>
        <v>&lt;?php echo 'value="' . $last_updated_date . '"'; ?&gt; id = "last_updated_date" name = "last_updated_date"</v>
      </c>
      <c r="G62" t="str">
        <f t="shared" si="15"/>
        <v xml:space="preserve"> $temp_whereClause = whereClasueQueryGenerator('last_updated_date' ,'=',$last_updated_date,$temp_whereClause);</v>
      </c>
      <c r="H62" t="str">
        <f t="shared" si="16"/>
        <v>echo "&lt;td&gt;" . $row['last_updated_date'] . "&lt;/td&gt;";</v>
      </c>
      <c r="I62" t="str">
        <f t="shared" si="17"/>
        <v>$last_updated_date = (float)$last_updated_date;</v>
      </c>
      <c r="J62" t="str">
        <f t="shared" si="19"/>
        <v>last_updated_date:  $('last_updated_date').val(),</v>
      </c>
      <c r="K62" t="str">
        <f t="shared" si="18"/>
        <v>$last_updated_date = $row['last_updated_date'];</v>
      </c>
    </row>
    <row r="63" spans="1:11" x14ac:dyDescent="0.25">
      <c r="A63" t="s">
        <v>72</v>
      </c>
      <c r="B63" t="str">
        <f t="shared" si="10"/>
        <v>$rating  =  "";</v>
      </c>
      <c r="C63" t="str">
        <f t="shared" si="11"/>
        <v>'$rating'</v>
      </c>
      <c r="D63" t="str">
        <f t="shared" si="12"/>
        <v>rating = '$rating'</v>
      </c>
      <c r="E63" t="str">
        <f t="shared" si="13"/>
        <v>$rating = czPostForSQL('rating');</v>
      </c>
      <c r="F63" t="str">
        <f t="shared" si="14"/>
        <v>&lt;?php echo 'value="' . $rating . '"'; ?&gt; id = "rating" name = "rating"</v>
      </c>
      <c r="G63" t="str">
        <f t="shared" si="15"/>
        <v xml:space="preserve"> $temp_whereClause = whereClasueQueryGenerator('rating' ,'=',$rating,$temp_whereClause);</v>
      </c>
      <c r="H63" t="str">
        <f t="shared" si="16"/>
        <v>echo "&lt;td&gt;" . $row['rating'] . "&lt;/td&gt;";</v>
      </c>
      <c r="I63" t="str">
        <f t="shared" si="17"/>
        <v>$rating = (float)$rating;</v>
      </c>
      <c r="J63" t="str">
        <f t="shared" si="19"/>
        <v>rating:  $('rating').val(),</v>
      </c>
      <c r="K63" t="str">
        <f t="shared" si="18"/>
        <v>$rating = $row['rating'];</v>
      </c>
    </row>
    <row r="64" spans="1:11" x14ac:dyDescent="0.25">
      <c r="A64" t="s">
        <v>73</v>
      </c>
      <c r="B64" t="str">
        <f t="shared" si="10"/>
        <v>$royality_points  =  "";</v>
      </c>
      <c r="C64" t="str">
        <f t="shared" si="11"/>
        <v>'$royality_points'</v>
      </c>
      <c r="D64" t="str">
        <f t="shared" si="12"/>
        <v>royality_points = '$royality_points'</v>
      </c>
      <c r="E64" t="str">
        <f t="shared" si="13"/>
        <v>$royality_points = czPostForSQL('royality_points');</v>
      </c>
      <c r="F64" t="str">
        <f t="shared" si="14"/>
        <v>&lt;?php echo 'value="' . $royality_points . '"'; ?&gt; id = "royality_points" name = "royality_points"</v>
      </c>
      <c r="G64" t="str">
        <f t="shared" si="15"/>
        <v xml:space="preserve"> $temp_whereClause = whereClasueQueryGenerator('royality_points' ,'=',$royality_points,$temp_whereClause);</v>
      </c>
      <c r="H64" t="str">
        <f t="shared" si="16"/>
        <v>echo "&lt;td&gt;" . $row['royality_points'] . "&lt;/td&gt;";</v>
      </c>
      <c r="I64" t="str">
        <f t="shared" si="17"/>
        <v>$royality_points = (float)$royality_points;</v>
      </c>
      <c r="J64" t="str">
        <f t="shared" si="19"/>
        <v>royality_points:  $('royality_points').val(),</v>
      </c>
      <c r="K64" t="str">
        <f t="shared" si="18"/>
        <v>$royality_points = $row['royality_points'];</v>
      </c>
    </row>
    <row r="65" spans="1:11" x14ac:dyDescent="0.25">
      <c r="A65" t="s">
        <v>74</v>
      </c>
      <c r="B65" t="str">
        <f t="shared" si="10"/>
        <v>$created_on  =  "";</v>
      </c>
      <c r="C65" t="str">
        <f t="shared" si="11"/>
        <v>'$created_on'</v>
      </c>
      <c r="D65" t="str">
        <f t="shared" si="12"/>
        <v>created_on = '$created_on'</v>
      </c>
      <c r="E65" t="str">
        <f t="shared" si="13"/>
        <v>$created_on = czPostForSQL('created_on');</v>
      </c>
      <c r="F65" t="str">
        <f t="shared" si="14"/>
        <v>&lt;?php echo 'value="' . $created_on . '"'; ?&gt; id = "created_on" name = "created_on"</v>
      </c>
      <c r="G65" t="str">
        <f t="shared" si="15"/>
        <v xml:space="preserve"> $temp_whereClause = whereClasueQueryGenerator('created_on' ,'=',$created_on,$temp_whereClause);</v>
      </c>
      <c r="H65" t="str">
        <f t="shared" si="16"/>
        <v>echo "&lt;td&gt;" . $row['created_on'] . "&lt;/td&gt;";</v>
      </c>
      <c r="I65" t="str">
        <f t="shared" si="17"/>
        <v>$created_on = (float)$created_on;</v>
      </c>
      <c r="J65" t="str">
        <f t="shared" si="19"/>
        <v>created_on:  $('created_on').val(),</v>
      </c>
      <c r="K65" t="str">
        <f t="shared" si="18"/>
        <v>$created_on = $row['created_on'];</v>
      </c>
    </row>
    <row r="66" spans="1:11" x14ac:dyDescent="0.25">
      <c r="A66" t="s">
        <v>75</v>
      </c>
      <c r="B66" t="str">
        <f t="shared" si="10"/>
        <v>$created_by  =  "";</v>
      </c>
      <c r="C66" t="str">
        <f t="shared" si="11"/>
        <v>'$created_by'</v>
      </c>
      <c r="D66" t="str">
        <f t="shared" si="12"/>
        <v>created_by = '$created_by'</v>
      </c>
      <c r="E66" t="str">
        <f t="shared" si="13"/>
        <v>$created_by = czPostForSQL('created_by');</v>
      </c>
      <c r="F66" t="str">
        <f t="shared" si="14"/>
        <v>&lt;?php echo 'value="' . $created_by . '"'; ?&gt; id = "created_by" name = "created_by"</v>
      </c>
      <c r="G66" t="str">
        <f t="shared" si="15"/>
        <v xml:space="preserve"> $temp_whereClause = whereClasueQueryGenerator('created_by' ,'=',$created_by,$temp_whereClause);</v>
      </c>
      <c r="H66" t="str">
        <f t="shared" si="16"/>
        <v>echo "&lt;td&gt;" . $row['created_by'] . "&lt;/td&gt;";</v>
      </c>
      <c r="I66" t="str">
        <f t="shared" si="17"/>
        <v>$created_by = (float)$created_by;</v>
      </c>
      <c r="J66" t="str">
        <f t="shared" si="19"/>
        <v>created_by:  $('created_by').val(),</v>
      </c>
      <c r="K66" t="str">
        <f t="shared" si="18"/>
        <v>$created_by = $row['created_by'];</v>
      </c>
    </row>
    <row r="67" spans="1:11" x14ac:dyDescent="0.25">
      <c r="A67" t="s">
        <v>76</v>
      </c>
      <c r="B67" t="str">
        <f t="shared" si="10"/>
        <v>$short_name  =  "";</v>
      </c>
      <c r="C67" t="str">
        <f t="shared" si="11"/>
        <v>'$short_name'</v>
      </c>
      <c r="D67" t="str">
        <f t="shared" si="12"/>
        <v>short_name = '$short_name'</v>
      </c>
      <c r="E67" t="str">
        <f t="shared" si="13"/>
        <v>$short_name = czPostForSQL('short_name');</v>
      </c>
      <c r="F67" t="str">
        <f t="shared" si="14"/>
        <v>&lt;?php echo 'value="' . $short_name . '"'; ?&gt; id = "short_name" name = "short_name"</v>
      </c>
      <c r="G67" t="str">
        <f t="shared" si="15"/>
        <v xml:space="preserve"> $temp_whereClause = whereClasueQueryGenerator('short_name' ,'=',$short_name,$temp_whereClause);</v>
      </c>
      <c r="H67" t="str">
        <f t="shared" si="16"/>
        <v>echo "&lt;td&gt;" . $row['short_name'] . "&lt;/td&gt;";</v>
      </c>
      <c r="I67" t="str">
        <f t="shared" si="17"/>
        <v>$short_name = (float)$short_name;</v>
      </c>
      <c r="J67" t="str">
        <f t="shared" si="19"/>
        <v>short_name:  $('short_name').val(),</v>
      </c>
      <c r="K67" t="str">
        <f t="shared" si="18"/>
        <v>$short_name = $row['short_name'];</v>
      </c>
    </row>
    <row r="68" spans="1:11" x14ac:dyDescent="0.25">
      <c r="A68" t="s">
        <v>77</v>
      </c>
      <c r="B68" t="str">
        <f t="shared" si="10"/>
        <v>$code  =  "";</v>
      </c>
      <c r="C68" t="str">
        <f t="shared" si="11"/>
        <v>'$code'</v>
      </c>
      <c r="D68" t="str">
        <f t="shared" si="12"/>
        <v>code = '$code'</v>
      </c>
      <c r="E68" t="str">
        <f t="shared" si="13"/>
        <v>$code = czPostForSQL('code');</v>
      </c>
      <c r="F68" t="str">
        <f t="shared" si="14"/>
        <v>&lt;?php echo 'value="' . $code . '"'; ?&gt; id = "code" name = "code"</v>
      </c>
      <c r="G68" t="str">
        <f t="shared" si="15"/>
        <v xml:space="preserve"> $temp_whereClause = whereClasueQueryGenerator('code' ,'=',$code,$temp_whereClause);</v>
      </c>
      <c r="H68" t="str">
        <f t="shared" si="16"/>
        <v>echo "&lt;td&gt;" . $row['code'] . "&lt;/td&gt;";</v>
      </c>
      <c r="I68" t="str">
        <f t="shared" si="17"/>
        <v>$code = (float)$code;</v>
      </c>
      <c r="J68" t="str">
        <f t="shared" si="19"/>
        <v>code:  $('code').val(),</v>
      </c>
      <c r="K68" t="str">
        <f t="shared" si="18"/>
        <v>$code = $row['code'];</v>
      </c>
    </row>
    <row r="69" spans="1:11" x14ac:dyDescent="0.25">
      <c r="A69" t="s">
        <v>78</v>
      </c>
      <c r="B69" t="str">
        <f t="shared" si="10"/>
        <v>$referance_name  =  "";</v>
      </c>
      <c r="C69" t="str">
        <f t="shared" si="11"/>
        <v>'$referance_name'</v>
      </c>
      <c r="D69" t="str">
        <f t="shared" si="12"/>
        <v>referance_name = '$referance_name'</v>
      </c>
      <c r="E69" t="str">
        <f t="shared" si="13"/>
        <v>$referance_name = czPostForSQL('referance_name');</v>
      </c>
      <c r="F69" t="str">
        <f t="shared" si="14"/>
        <v>&lt;?php echo 'value="' . $referance_name . '"'; ?&gt; id = "referance_name" name = "referance_name"</v>
      </c>
      <c r="G69" t="str">
        <f t="shared" si="15"/>
        <v xml:space="preserve"> $temp_whereClause = whereClasueQueryGenerator('referance_name' ,'=',$referance_name,$temp_whereClause);</v>
      </c>
      <c r="H69" t="str">
        <f t="shared" si="16"/>
        <v>echo "&lt;td&gt;" . $row['referance_name'] . "&lt;/td&gt;";</v>
      </c>
      <c r="I69" t="str">
        <f t="shared" si="17"/>
        <v>$referance_name = (float)$referance_name;</v>
      </c>
      <c r="J69" t="str">
        <f t="shared" si="19"/>
        <v>referance_name:  $('referance_name').val(),</v>
      </c>
      <c r="K69" t="str">
        <f t="shared" si="18"/>
        <v>$referance_name = $row['referance_name'];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0925-44BC-4328-81E2-81216076B267}">
  <dimension ref="A1:B3"/>
  <sheetViews>
    <sheetView workbookViewId="0">
      <selection activeCell="B1" sqref="B1"/>
    </sheetView>
  </sheetViews>
  <sheetFormatPr defaultRowHeight="15" x14ac:dyDescent="0.25"/>
  <cols>
    <col min="1" max="1" width="28.85546875" customWidth="1"/>
    <col min="2" max="2" width="198.7109375" style="2" customWidth="1"/>
  </cols>
  <sheetData>
    <row r="1" spans="1:2" ht="30" x14ac:dyDescent="0.25">
      <c r="A1" t="s">
        <v>2</v>
      </c>
      <c r="B1" s="2" t="str" cm="1">
        <f t="array" ref="B1">_xlfn.CONCAT(Table1[Table Name]&amp;",")</f>
        <v>company_name,display_name,b_street_l1,b_street_l2,b_city,b_state,b_zip,b_country,s_street_l1,s_street_l2,s_city,s_state,s_zip,s_country,email,landline,mobile,fax,website,other_details,tin,tan,cst,pan,service_tax,department,date_of_add,payable_opening_balance,receivable_opening_balance,bonus_point,contact_person_name,conatct_person_mobile,approved_status,image_logo_url,contact_type,tid,credit_amount,credit_days,price_list,a1,a2,a3,a4,a5,ad6,ad7,ad8,ad9,ad10,ad11,ad12,ad13,ad14,ad15,date_of_birth,accounts_manager,date_of_anniversary,bank_details,agent_name,dealer_name,last_updated_date,rating,royality_points,created_on,created_by,short_name,code,referance_name,</v>
      </c>
    </row>
    <row r="2" spans="1:2" ht="45" x14ac:dyDescent="0.25">
      <c r="A2" t="s">
        <v>3</v>
      </c>
      <c r="B2" s="2" t="str" cm="1">
        <f t="array" ref="B2">_xlfn.CONCAT(Table1[Insert Values]&amp;",")</f>
        <v>'$company_name','$display_name','$b_street_l1','$b_street_l2','$b_city','$b_state','$b_zip','$b_country','$s_street_l1','$s_street_l2','$s_city','$s_state','$s_zip','$s_country','$email','$landline','$mobile','$fax','$website','$other_details','$tin','$tan','$cst','$pan','$service_tax','$department','$date_of_add','$payable_opening_balance','$receivable_opening_balance','$bonus_point','$contact_person_name','$conatct_person_mobile','$approved_status','$image_logo_url','$contact_type','$tid','$credit_amount','$credit_days','$price_list','$a1','$a2','$a3','$a4','$a5','$ad6','$ad7','$ad8','$ad9','$ad10','$ad11','$ad12','$ad13','$ad14','$ad15','$date_of_birth','$accounts_manager','$date_of_anniversary','$bank_details','$agent_name','$dealer_name','$last_updated_date','$rating','$royality_points','$created_on','$created_by','$short_name','$code','$referance_name',</v>
      </c>
    </row>
    <row r="3" spans="1:2" ht="75" x14ac:dyDescent="0.25">
      <c r="A3" t="s">
        <v>4</v>
      </c>
      <c r="B3" s="2" t="str" cm="1">
        <f t="array" ref="B3">_xlfn.CONCAT(Table1[Update Values]&amp;",")</f>
        <v>company_name = '$company_name',display_name = '$display_name',b_street_l1 = '$b_street_l1',b_street_l2 = '$b_street_l2',b_city = '$b_city',b_state = '$b_state',b_zip = '$b_zip',b_country = '$b_country',s_street_l1 = '$s_street_l1',s_street_l2 = '$s_street_l2',s_city = '$s_city',s_state = '$s_state',s_zip = '$s_zip',s_country = '$s_country',email = '$email',landline = '$landline',mobile = '$mobile',fax = '$fax',website = '$website',other_details = '$other_details',tin = '$tin',tan = '$tan',cst = '$cst',pan = '$pan',service_tax = '$service_tax',department = '$department',date_of_add = '$date_of_add',payable_opening_balance = '$payable_opening_balance',receivable_opening_balance = '$receivable_opening_balance',bonus_point = '$bonus_point',contact_person_name = '$contact_person_name',conatct_person_mobile = '$conatct_person_mobile',approved_status = '$approved_status',image_logo_url = '$image_logo_url',contact_type = '$contact_type',tid = '$tid',credit_amount = '$credit_amount',credit_days = '$credit_days',price_list = '$price_list',a1 = '$a1',a2 = '$a2',a3 = '$a3',a4 = '$a4',a5 = '$a5',ad6 = '$ad6',ad7 = '$ad7',ad8 = '$ad8',ad9 = '$ad9',ad10 = '$ad10',ad11 = '$ad11',ad12 = '$ad12',ad13 = '$ad13',ad14 = '$ad14',ad15 = '$ad15',date_of_birth = '$date_of_birth',accounts_manager = '$accounts_manager',date_of_anniversary = '$date_of_anniversary',bank_details = '$bank_details',agent_name = '$agent_name',dealer_name = '$dealer_name',last_updated_date = '$last_updated_date',rating = '$rating',royality_points = '$royality_points',created_on = '$created_on',created_by = '$created_by',short_name = '$short_name',code = '$code',referance_name = '$referance_name',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Subaash Ravindran</dc:creator>
  <cp:lastModifiedBy>Subaash Ravindran</cp:lastModifiedBy>
  <dcterms:created xsi:type="dcterms:W3CDTF">2015-06-05T18:17:20Z</dcterms:created>
  <dcterms:modified xsi:type="dcterms:W3CDTF">2023-01-19T11:51:07Z</dcterms:modified>
</cp:coreProperties>
</file>